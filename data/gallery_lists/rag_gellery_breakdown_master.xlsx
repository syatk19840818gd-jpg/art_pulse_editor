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ieze-london" sheetId="1" state="visible" r:id="rId1"/>
    <sheet xmlns:r="http://schemas.openxmlformats.org/officeDocument/2006/relationships" name="liste" sheetId="2" state="visible" r:id="rId2"/>
    <sheet xmlns:r="http://schemas.openxmlformats.org/officeDocument/2006/relationships" name="合計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游ゴシック"/>
      <color rgb="FF000000"/>
      <sz val="10"/>
      <scheme val="minor"/>
    </font>
    <font>
      <name val="游ゴシック"/>
      <color rgb="FF000000"/>
      <sz val="11"/>
    </font>
    <font>
      <name val="Arial"/>
      <color rgb="FF000000"/>
      <sz val="11"/>
    </font>
    <font>
      <name val="Arial"/>
      <color theme="1"/>
      <sz val="11"/>
    </font>
    <font>
      <name val="游ゴシック"/>
      <color theme="1"/>
    </font>
    <font>
      <name val="游ゴシック"/>
      <color theme="1"/>
      <sz val="11"/>
    </font>
    <font>
      <name val="游ゴシック"/>
      <color rgb="FF000000"/>
      <sz val="10"/>
    </font>
    <font>
      <name val="游ゴシック"/>
      <color theme="1"/>
      <scheme val="minor"/>
    </font>
    <font>
      <name val="游ゴシック"/>
      <color rgb="FFFF0000"/>
      <scheme val="minor"/>
    </font>
  </fonts>
  <fills count="6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 vertical="bottom"/>
    </xf>
    <xf numFmtId="0" fontId="1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0" fontId="1" fillId="5" borderId="0" applyAlignment="1" pivotButton="0" quotePrefix="0" xfId="0">
      <alignment horizontal="center" vertical="bottom"/>
    </xf>
    <xf numFmtId="0" fontId="2" fillId="5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2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0" fontId="2" fillId="4" borderId="2" applyAlignment="1" pivotButton="0" quotePrefix="0" xfId="0">
      <alignment horizontal="center" vertical="bottom"/>
    </xf>
    <xf numFmtId="0" fontId="1" fillId="5" borderId="2" applyAlignment="1" pivotButton="0" quotePrefix="0" xfId="0">
      <alignment horizontal="center" vertical="bottom"/>
    </xf>
    <xf numFmtId="0" fontId="2" fillId="5" borderId="2" applyAlignment="1" pivotButton="0" quotePrefix="0" xfId="0">
      <alignment horizontal="center" vertical="bottom"/>
    </xf>
    <xf numFmtId="0" fontId="1" fillId="0" borderId="3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3" fillId="3" borderId="1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3" borderId="1" applyAlignment="1" pivotButton="0" quotePrefix="0" xfId="0">
      <alignment vertical="bottom"/>
    </xf>
    <xf numFmtId="165" fontId="5" fillId="0" borderId="1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bottom"/>
    </xf>
    <xf numFmtId="0" fontId="2" fillId="4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1" fillId="2" borderId="4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0" fontId="4" fillId="4" borderId="1" applyAlignment="1" pivotButton="0" quotePrefix="0" xfId="0">
      <alignment vertical="bottom"/>
    </xf>
    <xf numFmtId="0" fontId="2" fillId="2" borderId="5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165" fontId="1" fillId="0" borderId="1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43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6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16" t="inlineStr">
        <is>
          <t>Adams and Ollman</t>
        </is>
      </c>
      <c r="B3" s="17" t="n">
        <v>21</v>
      </c>
      <c r="C3" s="17" t="n">
        <v>20</v>
      </c>
      <c r="D3" s="17" t="n">
        <v>95.23809523809524</v>
      </c>
      <c r="E3" s="17" t="n">
        <v>21</v>
      </c>
      <c r="F3" s="17" t="n">
        <v>92</v>
      </c>
      <c r="G3" s="17" t="n">
        <v>20</v>
      </c>
      <c r="H3" s="17" t="n">
        <v>21</v>
      </c>
      <c r="I3" s="18" t="n">
        <v>13</v>
      </c>
      <c r="J3" s="18" t="n">
        <v>12</v>
      </c>
      <c r="K3" s="18" t="n">
        <v>92.30769230769231</v>
      </c>
      <c r="L3" s="18" t="n">
        <v>13</v>
      </c>
      <c r="M3" s="18" t="n">
        <v>12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16" t="inlineStr">
        <is>
          <t>Arcadia Missa</t>
        </is>
      </c>
      <c r="B4" s="17" t="n">
        <v>18</v>
      </c>
      <c r="C4" s="17" t="n">
        <v>18</v>
      </c>
      <c r="D4" s="17" t="n">
        <v>100</v>
      </c>
      <c r="E4" s="17" t="n">
        <v>18</v>
      </c>
      <c r="F4" s="17" t="n">
        <v>90</v>
      </c>
      <c r="G4" s="17" t="n">
        <v>18</v>
      </c>
      <c r="H4" s="17" t="n">
        <v>18</v>
      </c>
      <c r="I4" s="18" t="n">
        <v>15</v>
      </c>
      <c r="J4" s="18" t="n">
        <v>4</v>
      </c>
      <c r="K4" s="18" t="n">
        <v>26.66666666666667</v>
      </c>
      <c r="L4" s="18" t="n">
        <v>8</v>
      </c>
      <c r="M4" s="18" t="n">
        <v>11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16" t="inlineStr">
        <is>
          <t>Athr</t>
        </is>
      </c>
      <c r="B5" s="17" t="n">
        <v>19</v>
      </c>
      <c r="C5" s="17" t="n">
        <v>12</v>
      </c>
      <c r="D5" s="17" t="n">
        <v>63.1578947368421</v>
      </c>
      <c r="E5" s="17" t="n">
        <v>15</v>
      </c>
      <c r="F5" s="17" t="n">
        <v>70</v>
      </c>
      <c r="G5" s="17" t="n">
        <v>16</v>
      </c>
      <c r="H5" s="17" t="n">
        <v>16</v>
      </c>
      <c r="I5" s="18" t="n">
        <v>13</v>
      </c>
      <c r="J5" s="18" t="n">
        <v>2</v>
      </c>
      <c r="K5" s="18" t="n">
        <v>15.38461538461539</v>
      </c>
      <c r="L5" s="18" t="n">
        <v>4</v>
      </c>
      <c r="M5" s="18" t="n">
        <v>11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16" t="inlineStr">
        <is>
          <t>Gallery Baton</t>
        </is>
      </c>
      <c r="B6" s="17" t="n">
        <v>44</v>
      </c>
      <c r="C6" s="17" t="n">
        <v>42</v>
      </c>
      <c r="D6" s="17" t="n">
        <v>95.45454545454545</v>
      </c>
      <c r="E6" s="17" t="n">
        <v>43</v>
      </c>
      <c r="F6" s="17" t="n">
        <v>201</v>
      </c>
      <c r="G6" s="17" t="n">
        <v>53</v>
      </c>
      <c r="H6" s="17" t="n">
        <v>53</v>
      </c>
      <c r="I6" s="18" t="n">
        <v>10</v>
      </c>
      <c r="J6" s="18" t="n">
        <v>9</v>
      </c>
      <c r="K6" s="18" t="n">
        <v>90</v>
      </c>
      <c r="L6" s="18" t="n">
        <v>10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16" t="inlineStr">
        <is>
          <t>The Approach</t>
        </is>
      </c>
      <c r="B7" s="17" t="n">
        <v>31</v>
      </c>
      <c r="C7" s="17" t="n">
        <v>31</v>
      </c>
      <c r="D7" s="17" t="n">
        <v>100</v>
      </c>
      <c r="E7" s="17" t="n">
        <v>31</v>
      </c>
      <c r="F7" s="17" t="n">
        <v>151</v>
      </c>
      <c r="G7" s="17" t="n">
        <v>60</v>
      </c>
      <c r="H7" s="17" t="n">
        <v>62</v>
      </c>
      <c r="I7" s="18" t="n">
        <v>10</v>
      </c>
      <c r="J7" s="18" t="n">
        <v>3</v>
      </c>
      <c r="K7" s="18" t="n">
        <v>30</v>
      </c>
      <c r="L7" s="18" t="n">
        <v>3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23" t="inlineStr">
        <is>
          <t>Livia Benavides</t>
        </is>
      </c>
      <c r="B8" s="17" t="n">
        <v>26</v>
      </c>
      <c r="C8" s="17" t="n">
        <v>26</v>
      </c>
      <c r="D8" s="17" t="n">
        <v>100</v>
      </c>
      <c r="E8" s="17" t="n">
        <v>26</v>
      </c>
      <c r="F8" s="17" t="n">
        <v>81</v>
      </c>
      <c r="G8" s="17" t="n">
        <v>26</v>
      </c>
      <c r="H8" s="17" t="n">
        <v>26</v>
      </c>
      <c r="I8" s="18" t="n">
        <v>13</v>
      </c>
      <c r="J8" s="18" t="n">
        <v>4</v>
      </c>
      <c r="K8" s="18" t="n">
        <v>30.76923076923077</v>
      </c>
      <c r="L8" s="18" t="n">
        <v>4</v>
      </c>
      <c r="M8" s="18" t="n">
        <v>13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23" t="inlineStr">
        <is>
          <t>blank</t>
        </is>
      </c>
      <c r="B9" s="17" t="n">
        <v>14</v>
      </c>
      <c r="C9" s="17" t="n">
        <v>14</v>
      </c>
      <c r="D9" s="17" t="n">
        <v>100</v>
      </c>
      <c r="E9" s="17" t="n">
        <v>14</v>
      </c>
      <c r="F9" s="17" t="n">
        <v>138</v>
      </c>
      <c r="G9" s="17" t="n">
        <v>14</v>
      </c>
      <c r="H9" s="17" t="n">
        <v>14</v>
      </c>
      <c r="I9" s="18" t="n">
        <v>15</v>
      </c>
      <c r="J9" s="18" t="n">
        <v>4</v>
      </c>
      <c r="K9" s="18" t="n">
        <v>26.66666666666667</v>
      </c>
      <c r="L9" s="18" t="n">
        <v>4</v>
      </c>
      <c r="M9" s="18" t="n">
        <v>15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23" t="inlineStr">
        <is>
          <t>Peter Blum Gallery</t>
        </is>
      </c>
      <c r="B10" s="17" t="n">
        <v>22</v>
      </c>
      <c r="C10" s="17" t="n">
        <v>22</v>
      </c>
      <c r="D10" s="17" t="n">
        <v>100</v>
      </c>
      <c r="E10" s="17" t="n">
        <v>22</v>
      </c>
      <c r="F10" s="17" t="n">
        <v>219</v>
      </c>
      <c r="G10" s="17" t="n">
        <v>22</v>
      </c>
      <c r="H10" s="17" t="n">
        <v>22</v>
      </c>
      <c r="I10" s="18" t="n">
        <v>7</v>
      </c>
      <c r="J10" s="18" t="n">
        <v>4</v>
      </c>
      <c r="K10" s="18" t="n">
        <v>57.14285714285715</v>
      </c>
      <c r="L10" s="18" t="n">
        <v>4</v>
      </c>
      <c r="M10" s="18" t="n">
        <v>7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23" t="inlineStr">
        <is>
          <t>Matthew Brown</t>
        </is>
      </c>
      <c r="B11" s="17" t="n">
        <v>23</v>
      </c>
      <c r="C11" s="17" t="n">
        <v>23</v>
      </c>
      <c r="D11" s="17" t="n">
        <v>100</v>
      </c>
      <c r="E11" s="17" t="n">
        <v>23</v>
      </c>
      <c r="F11" s="17" t="n">
        <v>23</v>
      </c>
      <c r="G11" s="17" t="n">
        <v>23</v>
      </c>
      <c r="H11" s="17" t="n">
        <v>23</v>
      </c>
      <c r="I11" s="18" t="n">
        <v>12</v>
      </c>
      <c r="J11" s="18" t="n">
        <v>10</v>
      </c>
      <c r="K11" s="18" t="n">
        <v>83.33333333333333</v>
      </c>
      <c r="L11" s="18" t="n">
        <v>10</v>
      </c>
      <c r="M11" s="18" t="n">
        <v>12</v>
      </c>
      <c r="N11" s="19" t="n"/>
      <c r="O11" s="20" t="n">
        <v>46126</v>
      </c>
      <c r="P11" s="24" t="inlineStr">
        <is>
          <t>TASK_PHASE3_ARTWORK_IMAGE_FORCE_DELETE_MANIFEST_MATTHEW_CLUSTERKEEP1_20260414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23" t="inlineStr">
        <is>
          <t>Cecilia Brunson Projects</t>
        </is>
      </c>
      <c r="B12" s="17" t="n">
        <v>34</v>
      </c>
      <c r="C12" s="17" t="n">
        <v>34</v>
      </c>
      <c r="D12" s="17" t="n">
        <v>100</v>
      </c>
      <c r="E12" s="17" t="n">
        <v>34</v>
      </c>
      <c r="F12" s="17" t="n">
        <v>118</v>
      </c>
      <c r="G12" s="17" t="n">
        <v>34</v>
      </c>
      <c r="H12" s="17" t="n">
        <v>34</v>
      </c>
      <c r="I12" s="18" t="n">
        <v>9</v>
      </c>
      <c r="J12" s="18" t="n">
        <v>5</v>
      </c>
      <c r="K12" s="18" t="n">
        <v>55.55555555555556</v>
      </c>
      <c r="L12" s="18" t="n">
        <v>5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23" t="inlineStr">
        <is>
          <t>Galerie Gisela Capitain</t>
        </is>
      </c>
      <c r="B13" s="17" t="n">
        <v>38</v>
      </c>
      <c r="C13" s="17" t="n">
        <v>38</v>
      </c>
      <c r="D13" s="17" t="n">
        <v>100</v>
      </c>
      <c r="E13" s="17" t="n">
        <v>38</v>
      </c>
      <c r="F13" s="17" t="n">
        <v>141</v>
      </c>
      <c r="G13" s="17" t="n">
        <v>38</v>
      </c>
      <c r="H13" s="17" t="n">
        <v>38</v>
      </c>
      <c r="I13" s="18" t="n">
        <v>9</v>
      </c>
      <c r="J13" s="18" t="n">
        <v>5</v>
      </c>
      <c r="K13" s="18" t="n">
        <v>55.55555555555556</v>
      </c>
      <c r="L13" s="18" t="n">
        <v>9</v>
      </c>
      <c r="M13" s="18" t="n">
        <v>5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23" t="inlineStr">
        <is>
          <t>Carlos/Ishikawa</t>
        </is>
      </c>
      <c r="B14" s="17" t="n">
        <v>21</v>
      </c>
      <c r="C14" s="17" t="n">
        <v>21</v>
      </c>
      <c r="D14" s="17" t="n">
        <v>100</v>
      </c>
      <c r="E14" s="17" t="n">
        <v>21</v>
      </c>
      <c r="F14" s="17" t="n">
        <v>36</v>
      </c>
      <c r="G14" s="17" t="n">
        <v>21</v>
      </c>
      <c r="H14" s="17" t="n">
        <v>21</v>
      </c>
      <c r="I14" s="18" t="n">
        <v>5</v>
      </c>
      <c r="J14" s="18" t="n">
        <v>5</v>
      </c>
      <c r="K14" s="18" t="n">
        <v>100</v>
      </c>
      <c r="L14" s="18" t="n">
        <v>5</v>
      </c>
      <c r="M14" s="18" t="n">
        <v>5</v>
      </c>
      <c r="N14" s="19" t="n"/>
      <c r="O14" s="20" t="n">
        <v>46124</v>
      </c>
      <c r="P14" s="24" t="inlineStr">
        <is>
          <t>TASK_PHASE3_ARTWORK_IMAGE_FORCE_DELETE_MANIFEST_20260412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23" t="inlineStr">
        <is>
          <t>Casado Santapau</t>
        </is>
      </c>
      <c r="B15" s="17" t="n">
        <v>21</v>
      </c>
      <c r="C15" s="17" t="n">
        <v>21</v>
      </c>
      <c r="D15" s="17" t="n">
        <v>100</v>
      </c>
      <c r="E15" s="17" t="n">
        <v>21</v>
      </c>
      <c r="F15" s="17" t="n">
        <v>81</v>
      </c>
      <c r="G15" s="17" t="n">
        <v>21</v>
      </c>
      <c r="H15" s="17" t="n">
        <v>21</v>
      </c>
      <c r="I15" s="18" t="n">
        <v>29</v>
      </c>
      <c r="J15" s="18" t="n">
        <v>4</v>
      </c>
      <c r="K15" s="18" t="n">
        <v>13.79310344827586</v>
      </c>
      <c r="L15" s="18" t="n">
        <v>8</v>
      </c>
      <c r="M15" s="18" t="n">
        <v>25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23" t="inlineStr">
        <is>
          <t>Pedro Cera</t>
        </is>
      </c>
      <c r="B16" s="17" t="n">
        <v>30</v>
      </c>
      <c r="C16" s="17" t="n">
        <v>30</v>
      </c>
      <c r="D16" s="17" t="n">
        <v>100</v>
      </c>
      <c r="E16" s="17" t="n">
        <v>30</v>
      </c>
      <c r="F16" s="17" t="n">
        <v>150</v>
      </c>
      <c r="G16" s="17" t="n">
        <v>30</v>
      </c>
      <c r="H16" s="17" t="n">
        <v>30</v>
      </c>
      <c r="I16" s="18" t="n">
        <v>11</v>
      </c>
      <c r="J16" s="18" t="n">
        <v>7</v>
      </c>
      <c r="K16" s="18" t="n">
        <v>63.63636363636363</v>
      </c>
      <c r="L16" s="18" t="n">
        <v>7</v>
      </c>
      <c r="M16" s="18" t="n">
        <v>11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23" t="inlineStr">
        <is>
          <t>James Cohan</t>
        </is>
      </c>
      <c r="B17" s="17" t="n">
        <v>50</v>
      </c>
      <c r="C17" s="17" t="n">
        <v>50</v>
      </c>
      <c r="D17" s="17" t="n">
        <v>100</v>
      </c>
      <c r="E17" s="17" t="n">
        <v>50</v>
      </c>
      <c r="F17" s="17" t="n">
        <v>247</v>
      </c>
      <c r="G17" s="17" t="n">
        <v>50</v>
      </c>
      <c r="H17" s="17" t="n">
        <v>50</v>
      </c>
      <c r="I17" s="18" t="n">
        <v>23</v>
      </c>
      <c r="J17" s="18" t="n">
        <v>10</v>
      </c>
      <c r="K17" s="18" t="n">
        <v>43.47826086956522</v>
      </c>
      <c r="L17" s="18" t="n">
        <v>10</v>
      </c>
      <c r="M17" s="18" t="n">
        <v>23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23" t="inlineStr">
        <is>
          <t>Sadie Coles HQ</t>
        </is>
      </c>
      <c r="B18" s="17" t="n">
        <v>59</v>
      </c>
      <c r="C18" s="17" t="n">
        <v>58</v>
      </c>
      <c r="D18" s="17" t="n">
        <v>98.30508474576271</v>
      </c>
      <c r="E18" s="17" t="n">
        <v>58</v>
      </c>
      <c r="F18" s="17" t="n">
        <v>280</v>
      </c>
      <c r="G18" s="17" t="n">
        <v>59</v>
      </c>
      <c r="H18" s="17" t="n">
        <v>59</v>
      </c>
      <c r="I18" s="18" t="n">
        <v>20</v>
      </c>
      <c r="J18" s="18" t="n">
        <v>8</v>
      </c>
      <c r="K18" s="18" t="n">
        <v>40</v>
      </c>
      <c r="L18" s="18" t="n">
        <v>8</v>
      </c>
      <c r="M18" s="18" t="n">
        <v>20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23" t="inlineStr">
        <is>
          <t>Thomas Dane Gallery</t>
        </is>
      </c>
      <c r="B19" s="17" t="n">
        <v>36</v>
      </c>
      <c r="C19" s="17" t="n">
        <v>36</v>
      </c>
      <c r="D19" s="17" t="n">
        <v>100</v>
      </c>
      <c r="E19" s="17" t="n">
        <v>36</v>
      </c>
      <c r="F19" s="17" t="n">
        <v>180</v>
      </c>
      <c r="G19" s="17" t="n">
        <v>36</v>
      </c>
      <c r="H19" s="17" t="n">
        <v>36</v>
      </c>
      <c r="I19" s="18" t="n">
        <v>5</v>
      </c>
      <c r="J19" s="18" t="n">
        <v>0</v>
      </c>
      <c r="K19" s="18" t="n">
        <v>0</v>
      </c>
      <c r="L19" s="18" t="n">
        <v>2</v>
      </c>
      <c r="M19" s="18" t="n">
        <v>3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23" t="inlineStr">
        <is>
          <t>Dastan</t>
        </is>
      </c>
      <c r="B20" s="17" t="n">
        <v>58</v>
      </c>
      <c r="C20" s="17" t="n">
        <v>58</v>
      </c>
      <c r="D20" s="17" t="n">
        <v>100</v>
      </c>
      <c r="E20" s="17" t="n">
        <v>58</v>
      </c>
      <c r="F20" s="17" t="n">
        <v>240</v>
      </c>
      <c r="G20" s="17" t="n">
        <v>58</v>
      </c>
      <c r="H20" s="17" t="n">
        <v>58</v>
      </c>
      <c r="I20" s="18" t="n">
        <v>25</v>
      </c>
      <c r="J20" s="18" t="n">
        <v>8</v>
      </c>
      <c r="K20" s="18" t="n">
        <v>32</v>
      </c>
      <c r="L20" s="18" t="n">
        <v>8</v>
      </c>
      <c r="M20" s="18" t="n">
        <v>25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23" t="inlineStr">
        <is>
          <t>Anat Ebgi</t>
        </is>
      </c>
      <c r="B21" s="17" t="n">
        <v>32</v>
      </c>
      <c r="C21" s="17" t="n">
        <v>32</v>
      </c>
      <c r="D21" s="17" t="n">
        <v>100</v>
      </c>
      <c r="E21" s="17" t="n">
        <v>32</v>
      </c>
      <c r="F21" s="17" t="n">
        <v>160</v>
      </c>
      <c r="G21" s="17" t="n">
        <v>32</v>
      </c>
      <c r="H21" s="17" t="n">
        <v>32</v>
      </c>
      <c r="I21" s="18" t="n">
        <v>23</v>
      </c>
      <c r="J21" s="18" t="n">
        <v>8</v>
      </c>
      <c r="K21" s="18" t="n">
        <v>34.78260869565217</v>
      </c>
      <c r="L21" s="18" t="n">
        <v>8</v>
      </c>
      <c r="M21" s="18" t="n">
        <v>23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23" t="inlineStr">
        <is>
          <t>Edel Assanti</t>
        </is>
      </c>
      <c r="B22" s="17" t="n">
        <v>18</v>
      </c>
      <c r="C22" s="17" t="n">
        <v>17</v>
      </c>
      <c r="D22" s="17" t="n">
        <v>94.44444444444444</v>
      </c>
      <c r="E22" s="17" t="n">
        <v>17</v>
      </c>
      <c r="F22" s="17" t="n">
        <v>85</v>
      </c>
      <c r="G22" s="17" t="n">
        <v>18</v>
      </c>
      <c r="H22" s="17" t="n">
        <v>18</v>
      </c>
      <c r="I22" s="18" t="n">
        <v>12</v>
      </c>
      <c r="J22" s="18" t="n">
        <v>7</v>
      </c>
      <c r="K22" s="18" t="n">
        <v>58.33333333333334</v>
      </c>
      <c r="L22" s="18" t="n">
        <v>7</v>
      </c>
      <c r="M22" s="18" t="n">
        <v>12</v>
      </c>
      <c r="N22" s="19" t="n"/>
      <c r="O22" s="20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23" t="inlineStr">
        <is>
          <t>Emalin</t>
        </is>
      </c>
      <c r="B23" s="17" t="n">
        <v>0</v>
      </c>
      <c r="C23" s="17" t="n">
        <v>0</v>
      </c>
      <c r="D23" s="25" t="n"/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1</v>
      </c>
      <c r="J23" s="18" t="n">
        <v>0</v>
      </c>
      <c r="K23" s="18" t="n">
        <v>0</v>
      </c>
      <c r="L23" s="18" t="n">
        <v>1</v>
      </c>
      <c r="M23" s="18" t="n">
        <v>0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23" t="inlineStr">
        <is>
          <t>Experimenter</t>
        </is>
      </c>
      <c r="B24" s="17" t="n">
        <v>35</v>
      </c>
      <c r="C24" s="17" t="n">
        <v>35</v>
      </c>
      <c r="D24" s="17" t="n">
        <v>100</v>
      </c>
      <c r="E24" s="17" t="n">
        <v>35</v>
      </c>
      <c r="F24" s="17" t="n">
        <v>161</v>
      </c>
      <c r="G24" s="17" t="n">
        <v>35</v>
      </c>
      <c r="H24" s="17" t="n">
        <v>35</v>
      </c>
      <c r="I24" s="18" t="n">
        <v>18</v>
      </c>
      <c r="J24" s="18" t="n">
        <v>8</v>
      </c>
      <c r="K24" s="18" t="n">
        <v>44.44444444444444</v>
      </c>
      <c r="L24" s="18" t="n">
        <v>8</v>
      </c>
      <c r="M24" s="18" t="n">
        <v>18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23" t="inlineStr">
        <is>
          <t>Selma Feriani</t>
        </is>
      </c>
      <c r="B25" s="17" t="n">
        <v>25</v>
      </c>
      <c r="C25" s="17" t="n">
        <v>25</v>
      </c>
      <c r="D25" s="17" t="n">
        <v>100</v>
      </c>
      <c r="E25" s="17" t="n">
        <v>25</v>
      </c>
      <c r="F25" s="17" t="n">
        <v>116</v>
      </c>
      <c r="G25" s="17" t="n">
        <v>25</v>
      </c>
      <c r="H25" s="17" t="n">
        <v>25</v>
      </c>
      <c r="I25" s="18" t="n">
        <v>12</v>
      </c>
      <c r="J25" s="18" t="n">
        <v>6</v>
      </c>
      <c r="K25" s="18" t="n">
        <v>50</v>
      </c>
      <c r="L25" s="18" t="n">
        <v>6</v>
      </c>
      <c r="M25" s="18" t="n">
        <v>12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23" t="inlineStr">
        <is>
          <t>Carl Freedman Gallery</t>
        </is>
      </c>
      <c r="B26" s="17" t="n">
        <v>13</v>
      </c>
      <c r="C26" s="17" t="n">
        <v>13</v>
      </c>
      <c r="D26" s="17" t="n">
        <v>100</v>
      </c>
      <c r="E26" s="17" t="n">
        <v>13</v>
      </c>
      <c r="F26" s="17" t="n">
        <v>65</v>
      </c>
      <c r="G26" s="17" t="n">
        <v>13</v>
      </c>
      <c r="H26" s="17" t="n">
        <v>13</v>
      </c>
      <c r="I26" s="18" t="n">
        <v>24</v>
      </c>
      <c r="J26" s="18" t="n">
        <v>8</v>
      </c>
      <c r="K26" s="18" t="n">
        <v>33.33333333333334</v>
      </c>
      <c r="L26" s="18" t="n">
        <v>8</v>
      </c>
      <c r="M26" s="18" t="n">
        <v>24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6" t="inlineStr">
        <is>
          <t>Goodman Gallery</t>
        </is>
      </c>
      <c r="B27" s="27" t="n">
        <v>0</v>
      </c>
      <c r="C27" s="27" t="n">
        <v>0</v>
      </c>
      <c r="D27" s="27" t="n"/>
      <c r="E27" s="27" t="n">
        <v>0</v>
      </c>
      <c r="F27" s="27" t="n">
        <v>0</v>
      </c>
      <c r="G27" s="27" t="n">
        <v>0</v>
      </c>
      <c r="H27" s="27" t="n">
        <v>0</v>
      </c>
      <c r="I27" s="28" t="n">
        <v>2</v>
      </c>
      <c r="J27" s="28" t="n">
        <v>0</v>
      </c>
      <c r="K27" s="28" t="n">
        <v>0</v>
      </c>
      <c r="L27" s="28" t="n">
        <v>2</v>
      </c>
      <c r="M27" s="28" t="n">
        <v>0</v>
      </c>
      <c r="N27" s="29" t="n"/>
      <c r="O27" s="41" t="n">
        <v>46124</v>
      </c>
      <c r="P27" s="29" t="inlineStr">
        <is>
          <t>20260411T164752Z</t>
        </is>
      </c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7" t="n"/>
    </row>
    <row r="28" ht="15.75" customHeight="1" s="40">
      <c r="A28" s="36" t="inlineStr">
        <is>
          <t>Frith Street Gallery</t>
        </is>
      </c>
      <c r="B28" s="27" t="n">
        <v>21</v>
      </c>
      <c r="C28" s="27" t="n">
        <v>21</v>
      </c>
      <c r="D28" s="27" t="n">
        <v>100</v>
      </c>
      <c r="E28" s="27" t="n">
        <v>21</v>
      </c>
      <c r="F28" s="27" t="n">
        <v>98</v>
      </c>
      <c r="G28" s="27" t="n">
        <v>21</v>
      </c>
      <c r="H28" s="27" t="n">
        <v>21</v>
      </c>
      <c r="I28" s="28" t="n">
        <v>8</v>
      </c>
      <c r="J28" s="28" t="n">
        <v>4</v>
      </c>
      <c r="K28" s="28" t="n">
        <v>50</v>
      </c>
      <c r="L28" s="28" t="n">
        <v>4</v>
      </c>
      <c r="M28" s="28" t="n">
        <v>8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6" t="inlineStr">
        <is>
          <t>Gagosian</t>
        </is>
      </c>
      <c r="B29" s="27" t="n">
        <v>80</v>
      </c>
      <c r="C29" s="27" t="n">
        <v>80</v>
      </c>
      <c r="D29" s="27" t="n">
        <v>100</v>
      </c>
      <c r="E29" s="27" t="n">
        <v>80</v>
      </c>
      <c r="F29" s="27" t="n">
        <v>240</v>
      </c>
      <c r="G29" s="27" t="n">
        <v>80</v>
      </c>
      <c r="H29" s="27" t="n">
        <v>80</v>
      </c>
      <c r="I29" s="28" t="n">
        <v>17</v>
      </c>
      <c r="J29" s="28" t="n">
        <v>8</v>
      </c>
      <c r="K29" s="28" t="n">
        <v>47.05882352941177</v>
      </c>
      <c r="L29" s="28" t="n">
        <v>8</v>
      </c>
      <c r="M29" s="28" t="n">
        <v>17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6" t="inlineStr">
        <is>
          <t>Alexander Gray Associates</t>
        </is>
      </c>
      <c r="B30" s="27" t="n">
        <v>22</v>
      </c>
      <c r="C30" s="27" t="n">
        <v>22</v>
      </c>
      <c r="D30" s="27" t="n">
        <v>100</v>
      </c>
      <c r="E30" s="27" t="n">
        <v>22</v>
      </c>
      <c r="F30" s="27" t="n">
        <v>25</v>
      </c>
      <c r="G30" s="27" t="n">
        <v>22</v>
      </c>
      <c r="H30" s="27" t="n">
        <v>22</v>
      </c>
      <c r="I30" s="28" t="n">
        <v>8</v>
      </c>
      <c r="J30" s="28" t="n">
        <v>4</v>
      </c>
      <c r="K30" s="28" t="n">
        <v>50</v>
      </c>
      <c r="L30" s="28" t="n">
        <v>4</v>
      </c>
      <c r="M30" s="28" t="n">
        <v>8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6" t="inlineStr">
        <is>
          <t>Garth Greenan Gallery</t>
        </is>
      </c>
      <c r="B31" s="27" t="n">
        <v>36</v>
      </c>
      <c r="C31" s="27" t="n">
        <v>36</v>
      </c>
      <c r="D31" s="27" t="n">
        <v>100</v>
      </c>
      <c r="E31" s="27" t="n">
        <v>36</v>
      </c>
      <c r="F31" s="27" t="n">
        <v>177</v>
      </c>
      <c r="G31" s="27" t="n">
        <v>36</v>
      </c>
      <c r="H31" s="27" t="n">
        <v>36</v>
      </c>
      <c r="I31" s="28" t="n">
        <v>2</v>
      </c>
      <c r="J31" s="28" t="n">
        <v>2</v>
      </c>
      <c r="K31" s="28" t="n">
        <v>100</v>
      </c>
      <c r="L31" s="28" t="n">
        <v>2</v>
      </c>
      <c r="M31" s="28" t="n">
        <v>2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6" t="inlineStr">
        <is>
          <t>Grimm</t>
        </is>
      </c>
      <c r="B32" s="27" t="n">
        <v>37</v>
      </c>
      <c r="C32" s="27" t="n">
        <v>37</v>
      </c>
      <c r="D32" s="27" t="n">
        <v>100</v>
      </c>
      <c r="E32" s="27" t="n">
        <v>37</v>
      </c>
      <c r="F32" s="27" t="n">
        <v>333</v>
      </c>
      <c r="G32" s="27" t="n">
        <v>37</v>
      </c>
      <c r="H32" s="27" t="n">
        <v>37</v>
      </c>
      <c r="I32" s="28" t="n">
        <v>23</v>
      </c>
      <c r="J32" s="28" t="n">
        <v>8</v>
      </c>
      <c r="K32" s="28" t="n">
        <v>34.78260869565217</v>
      </c>
      <c r="L32" s="28" t="n">
        <v>8</v>
      </c>
      <c r="M32" s="28" t="n">
        <v>23</v>
      </c>
      <c r="N32" s="29" t="inlineStr">
        <is>
          <t>early_review_20260421; artist_target_pct=89.19; exhibition_target_met=True; residual=none</t>
        </is>
      </c>
      <c r="O32" s="41" t="n">
        <v>46134</v>
      </c>
      <c r="P32" s="29" t="inlineStr">
        <is>
          <t>TASK_PHASE3_BLOCK_CLOSEOUT_ARTIST_SOURCE_REAPPLY_20260422T0015Z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6" t="inlineStr">
        <is>
          <t>Galerie Karin Guenther</t>
        </is>
      </c>
      <c r="B33" s="27" t="n">
        <v>28</v>
      </c>
      <c r="C33" s="27" t="n">
        <v>28</v>
      </c>
      <c r="D33" s="27" t="n">
        <v>100</v>
      </c>
      <c r="E33" s="27" t="n">
        <v>28</v>
      </c>
      <c r="F33" s="27" t="n">
        <v>0</v>
      </c>
      <c r="G33" s="27" t="n">
        <v>28</v>
      </c>
      <c r="H33" s="27" t="n">
        <v>28</v>
      </c>
      <c r="I33" s="28" t="n">
        <v>0</v>
      </c>
      <c r="J33" s="28" t="n">
        <v>0</v>
      </c>
      <c r="K33" s="28" t="n"/>
      <c r="L33" s="28" t="n">
        <v>0</v>
      </c>
      <c r="M33" s="28" t="n">
        <v>0</v>
      </c>
      <c r="N33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6" t="inlineStr">
        <is>
          <t>Hales</t>
        </is>
      </c>
      <c r="B34" s="27" t="n">
        <v>36</v>
      </c>
      <c r="C34" s="27" t="n">
        <v>36</v>
      </c>
      <c r="D34" s="27" t="n">
        <v>100</v>
      </c>
      <c r="E34" s="27" t="n">
        <v>36</v>
      </c>
      <c r="F34" s="27" t="n">
        <v>170</v>
      </c>
      <c r="G34" s="27" t="n">
        <v>36</v>
      </c>
      <c r="H34" s="27" t="n">
        <v>36</v>
      </c>
      <c r="I34" s="28" t="n">
        <v>7</v>
      </c>
      <c r="J34" s="28" t="n">
        <v>0</v>
      </c>
      <c r="K34" s="28" t="n">
        <v>0</v>
      </c>
      <c r="L34" s="28" t="n">
        <v>1</v>
      </c>
      <c r="M34" s="28" t="n">
        <v>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6" t="inlineStr">
        <is>
          <t>Hauser &amp; Wirth</t>
        </is>
      </c>
      <c r="B35" s="27" t="n">
        <v>0</v>
      </c>
      <c r="C35" s="27" t="n">
        <v>0</v>
      </c>
      <c r="D35" s="27" t="n"/>
      <c r="E35" s="27" t="n">
        <v>0</v>
      </c>
      <c r="F35" s="27" t="n">
        <v>0</v>
      </c>
      <c r="G35" s="27" t="n">
        <v>0</v>
      </c>
      <c r="H35" s="27" t="n">
        <v>0</v>
      </c>
      <c r="I35" s="28" t="n">
        <v>0</v>
      </c>
      <c r="J35" s="28" t="n">
        <v>0</v>
      </c>
      <c r="K35" s="28" t="n"/>
      <c r="L35" s="28" t="n">
        <v>0</v>
      </c>
      <c r="M35" s="28" t="n">
        <v>0</v>
      </c>
      <c r="N35" s="29" t="inlineStr">
        <is>
          <t>early_review_20260421; artist_target_pct=0.0; exhibition_target_met=False; residual=artist_text_raw_missing | artist_image_scope_missing | exhibition_image_not_met(html_fetch_failed)</t>
        </is>
      </c>
      <c r="O35" s="41" t="n">
        <v>46133</v>
      </c>
      <c r="P35" s="29" t="inlineStr">
        <is>
          <t>TASK_PHASE3_EARLY_WORKBOOK_REFLECT_20260421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6" t="inlineStr">
        <is>
          <t>Galerie Max Hetzler</t>
        </is>
      </c>
      <c r="B36" s="27" t="n">
        <v>61</v>
      </c>
      <c r="C36" s="27" t="n">
        <v>61</v>
      </c>
      <c r="D36" s="27" t="n">
        <v>100</v>
      </c>
      <c r="E36" s="27" t="n">
        <v>61</v>
      </c>
      <c r="F36" s="27" t="n">
        <v>517</v>
      </c>
      <c r="G36" s="27" t="n">
        <v>61</v>
      </c>
      <c r="H36" s="27" t="n">
        <v>61</v>
      </c>
      <c r="I36" s="28" t="n">
        <v>23</v>
      </c>
      <c r="J36" s="28" t="n">
        <v>8</v>
      </c>
      <c r="K36" s="28" t="n">
        <v>34.78260869565217</v>
      </c>
      <c r="L36" s="28" t="n">
        <v>8</v>
      </c>
      <c r="M36" s="28" t="n">
        <v>23</v>
      </c>
      <c r="N36" s="29" t="inlineStr">
        <is>
          <t>early_review_20260421; artist_target_pct=86.89; exhibition_target_met=True; residual=none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6" t="inlineStr">
        <is>
          <t>Hollybush Gardens</t>
        </is>
      </c>
      <c r="B37" s="27" t="n">
        <v>25</v>
      </c>
      <c r="C37" s="27" t="n">
        <v>25</v>
      </c>
      <c r="D37" s="27" t="n">
        <v>100</v>
      </c>
      <c r="E37" s="27" t="n">
        <v>25</v>
      </c>
      <c r="F37" s="27" t="n">
        <v>121</v>
      </c>
      <c r="G37" s="27" t="n">
        <v>25</v>
      </c>
      <c r="H37" s="27" t="n">
        <v>25</v>
      </c>
      <c r="I37" s="28" t="n">
        <v>8</v>
      </c>
      <c r="J37" s="28" t="n">
        <v>0</v>
      </c>
      <c r="K37" s="28" t="n">
        <v>0</v>
      </c>
      <c r="L37" s="28" t="n">
        <v>0</v>
      </c>
      <c r="M37" s="28" t="n">
        <v>8</v>
      </c>
      <c r="N37" s="29" t="n"/>
      <c r="O37" s="41" t="n">
        <v>46136</v>
      </c>
      <c r="P37" s="29" t="inlineStr">
        <is>
          <t>TASK_PHASE3_RAW_REBUILD_VERIFY_FIRST_20260422_STEP18_APPLY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6" t="inlineStr">
        <is>
          <t>Pippy Houldsworth Gallery</t>
        </is>
      </c>
      <c r="B38" s="27" t="n">
        <v>45</v>
      </c>
      <c r="C38" s="27" t="n">
        <v>45</v>
      </c>
      <c r="D38" s="27" t="n">
        <v>100</v>
      </c>
      <c r="E38" s="27" t="n">
        <v>45</v>
      </c>
      <c r="F38" s="27" t="n">
        <v>170</v>
      </c>
      <c r="G38" s="27" t="n">
        <v>45</v>
      </c>
      <c r="H38" s="27" t="n">
        <v>45</v>
      </c>
      <c r="I38" s="28" t="n">
        <v>15</v>
      </c>
      <c r="J38" s="28" t="n">
        <v>15</v>
      </c>
      <c r="K38" s="28" t="n">
        <v>100</v>
      </c>
      <c r="L38" s="28" t="n">
        <v>15</v>
      </c>
      <c r="M38" s="28" t="n">
        <v>15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6" t="inlineStr">
        <is>
          <t>Xavier Hufkens</t>
        </is>
      </c>
      <c r="B39" s="27" t="n">
        <v>55</v>
      </c>
      <c r="C39" s="27" t="n">
        <v>55</v>
      </c>
      <c r="D39" s="27" t="n">
        <v>100</v>
      </c>
      <c r="E39" s="27" t="n">
        <v>55</v>
      </c>
      <c r="F39" s="27" t="n">
        <v>265</v>
      </c>
      <c r="G39" s="27" t="n">
        <v>55</v>
      </c>
      <c r="H39" s="27" t="n">
        <v>55</v>
      </c>
      <c r="I39" s="28" t="n">
        <v>3</v>
      </c>
      <c r="J39" s="28" t="n">
        <v>1</v>
      </c>
      <c r="K39" s="28" t="n">
        <v>33.33333333333334</v>
      </c>
      <c r="L39" s="28" t="n">
        <v>2</v>
      </c>
      <c r="M39" s="28" t="n">
        <v>2</v>
      </c>
      <c r="N39" s="29" t="n"/>
      <c r="O39" s="41" t="n">
        <v>46136</v>
      </c>
      <c r="P39" s="29" t="inlineStr">
        <is>
          <t>TASK_PHASE3_RAW_REBUILD_VERIFY_FIRST_20260422_STEP18_APPLY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6" t="inlineStr">
        <is>
          <t>i8 Gallery</t>
        </is>
      </c>
      <c r="B40" s="27" t="n">
        <v>23</v>
      </c>
      <c r="C40" s="27" t="n">
        <v>23</v>
      </c>
      <c r="D40" s="27" t="n">
        <v>100</v>
      </c>
      <c r="E40" s="27" t="n">
        <v>23</v>
      </c>
      <c r="F40" s="27" t="n">
        <v>77</v>
      </c>
      <c r="G40" s="27" t="n">
        <v>23</v>
      </c>
      <c r="H40" s="27" t="n">
        <v>23</v>
      </c>
      <c r="I40" s="28" t="n">
        <v>11</v>
      </c>
      <c r="J40" s="28" t="n">
        <v>6</v>
      </c>
      <c r="K40" s="28" t="n">
        <v>54.54545454545455</v>
      </c>
      <c r="L40" s="28" t="n">
        <v>9</v>
      </c>
      <c r="M40" s="28" t="n">
        <v>8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6" t="inlineStr">
        <is>
          <t>Ingleby</t>
        </is>
      </c>
      <c r="B41" s="27" t="n">
        <v>41</v>
      </c>
      <c r="C41" s="27" t="n">
        <v>41</v>
      </c>
      <c r="D41" s="27" t="n">
        <v>100</v>
      </c>
      <c r="E41" s="27" t="n">
        <v>41</v>
      </c>
      <c r="F41" s="27" t="n">
        <v>204</v>
      </c>
      <c r="G41" s="27" t="n">
        <v>41</v>
      </c>
      <c r="H41" s="27" t="n">
        <v>41</v>
      </c>
      <c r="I41" s="28" t="n">
        <v>8</v>
      </c>
      <c r="J41" s="28" t="n">
        <v>0</v>
      </c>
      <c r="K41" s="28" t="n">
        <v>0</v>
      </c>
      <c r="L41" s="28" t="n">
        <v>4</v>
      </c>
      <c r="M41" s="28" t="n">
        <v>4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6" t="inlineStr">
        <is>
          <t>Alison Jacques</t>
        </is>
      </c>
      <c r="B42" s="27" t="n">
        <v>37</v>
      </c>
      <c r="C42" s="27" t="n">
        <v>37</v>
      </c>
      <c r="D42" s="27" t="n">
        <v>100</v>
      </c>
      <c r="E42" s="27" t="n">
        <v>37</v>
      </c>
      <c r="F42" s="27" t="n">
        <v>294</v>
      </c>
      <c r="G42" s="27" t="n">
        <v>37</v>
      </c>
      <c r="H42" s="27" t="n">
        <v>37</v>
      </c>
      <c r="I42" s="28" t="n">
        <v>10</v>
      </c>
      <c r="J42" s="28" t="n">
        <v>6</v>
      </c>
      <c r="K42" s="28" t="n">
        <v>60</v>
      </c>
      <c r="L42" s="28" t="n">
        <v>6</v>
      </c>
      <c r="M42" s="28" t="n">
        <v>10</v>
      </c>
      <c r="N42" s="29" t="n"/>
      <c r="O42" s="41" t="n">
        <v>46137</v>
      </c>
      <c r="P42" s="29" t="inlineStr">
        <is>
          <t>p3n10r1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6" t="inlineStr">
        <is>
          <t>Almine Rech</t>
        </is>
      </c>
      <c r="B43" s="27" t="n">
        <v>80</v>
      </c>
      <c r="C43" s="27" t="n">
        <v>80</v>
      </c>
      <c r="D43" s="27" t="n">
        <v>100</v>
      </c>
      <c r="E43" s="27" t="n">
        <v>80</v>
      </c>
      <c r="F43" s="27" t="n">
        <v>1</v>
      </c>
      <c r="G43" s="27" t="n">
        <v>80</v>
      </c>
      <c r="H43" s="27" t="n">
        <v>80</v>
      </c>
      <c r="I43" s="28" t="n">
        <v>24</v>
      </c>
      <c r="J43" s="28" t="n">
        <v>8</v>
      </c>
      <c r="K43" s="28" t="n">
        <v>33.33333333333334</v>
      </c>
      <c r="L43" s="28" t="n">
        <v>8</v>
      </c>
      <c r="M43" s="28" t="n">
        <v>24</v>
      </c>
      <c r="N43" s="29" t="n"/>
      <c r="O43" s="41" t="n">
        <v>46137</v>
      </c>
      <c r="P43" s="29" t="inlineStr">
        <is>
          <t>p3n10r1</t>
        </is>
      </c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6" t="inlineStr">
        <is>
          <t>David Zwirner</t>
        </is>
      </c>
      <c r="B44" s="27" t="n">
        <v>80</v>
      </c>
      <c r="C44" s="27" t="n">
        <v>80</v>
      </c>
      <c r="D44" s="27" t="n">
        <v>100</v>
      </c>
      <c r="E44" s="27" t="n">
        <v>80</v>
      </c>
      <c r="F44" s="27" t="n">
        <v>640</v>
      </c>
      <c r="G44" s="27" t="n">
        <v>80</v>
      </c>
      <c r="H44" s="27" t="n">
        <v>80</v>
      </c>
      <c r="I44" s="28" t="n">
        <v>9</v>
      </c>
      <c r="J44" s="28" t="n">
        <v>7</v>
      </c>
      <c r="K44" s="28" t="n">
        <v>77.77777777777777</v>
      </c>
      <c r="L44" s="28" t="n">
        <v>8</v>
      </c>
      <c r="M44" s="28" t="n">
        <v>8</v>
      </c>
      <c r="N44" s="29" t="n"/>
      <c r="O44" s="41" t="n">
        <v>46137</v>
      </c>
      <c r="P44" s="29" t="inlineStr">
        <is>
          <t>p3n10r1</t>
        </is>
      </c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6" t="inlineStr">
        <is>
          <t>Esther Schipper</t>
        </is>
      </c>
      <c r="B45" s="27" t="n">
        <v>60</v>
      </c>
      <c r="C45" s="27" t="n">
        <v>60</v>
      </c>
      <c r="D45" s="27" t="n">
        <v>100</v>
      </c>
      <c r="E45" s="27" t="n">
        <v>60</v>
      </c>
      <c r="F45" s="27" t="n">
        <v>265</v>
      </c>
      <c r="G45" s="27" t="n">
        <v>60</v>
      </c>
      <c r="H45" s="27" t="n">
        <v>60</v>
      </c>
      <c r="I45" s="28" t="n">
        <v>25</v>
      </c>
      <c r="J45" s="28" t="n">
        <v>7</v>
      </c>
      <c r="K45" s="28" t="n">
        <v>28</v>
      </c>
      <c r="L45" s="28" t="n">
        <v>8</v>
      </c>
      <c r="M45" s="28" t="n">
        <v>24</v>
      </c>
      <c r="N45" s="29" t="n"/>
      <c r="O45" s="41" t="n">
        <v>46137</v>
      </c>
      <c r="P45" s="29" t="inlineStr">
        <is>
          <t>p3n10r1</t>
        </is>
      </c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6" t="inlineStr">
        <is>
          <t>Francesca Minini</t>
        </is>
      </c>
      <c r="B46" s="27" t="n">
        <v>37</v>
      </c>
      <c r="C46" s="27" t="n">
        <v>37</v>
      </c>
      <c r="D46" s="27" t="n">
        <v>100</v>
      </c>
      <c r="E46" s="27" t="n">
        <v>37</v>
      </c>
      <c r="F46" s="27" t="n">
        <v>162</v>
      </c>
      <c r="G46" s="27" t="n">
        <v>37</v>
      </c>
      <c r="H46" s="27" t="n">
        <v>37</v>
      </c>
      <c r="I46" s="28" t="n">
        <v>4</v>
      </c>
      <c r="J46" s="28" t="n">
        <v>2</v>
      </c>
      <c r="K46" s="28" t="n">
        <v>50</v>
      </c>
      <c r="L46" s="28" t="n">
        <v>2</v>
      </c>
      <c r="M46" s="28" t="n">
        <v>4</v>
      </c>
      <c r="N46" s="29" t="n"/>
      <c r="O46" s="41" t="n">
        <v>46137</v>
      </c>
      <c r="P46" s="29" t="inlineStr">
        <is>
          <t>p3n10r1</t>
        </is>
      </c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6" t="inlineStr">
        <is>
          <t>Taka Ishii Gallery</t>
        </is>
      </c>
      <c r="B47" s="27" t="n">
        <v>1</v>
      </c>
      <c r="C47" s="27" t="n">
        <v>1</v>
      </c>
      <c r="D47" s="27" t="n">
        <v>100</v>
      </c>
      <c r="E47" s="27" t="n">
        <v>1</v>
      </c>
      <c r="F47" s="27" t="n">
        <v>0</v>
      </c>
      <c r="G47" s="27" t="n">
        <v>1</v>
      </c>
      <c r="H47" s="27" t="n">
        <v>1</v>
      </c>
      <c r="I47" s="28" t="n">
        <v>7</v>
      </c>
      <c r="J47" s="28" t="n">
        <v>1</v>
      </c>
      <c r="K47" s="28" t="n">
        <v>14.28571428571429</v>
      </c>
      <c r="L47" s="28" t="n">
        <v>1</v>
      </c>
      <c r="M47" s="28" t="n">
        <v>7</v>
      </c>
      <c r="N47" s="29" t="n"/>
      <c r="O47" s="41" t="n">
        <v>46144</v>
      </c>
      <c r="P47" s="29" t="inlineStr">
        <is>
          <t>TASK_PHASE3_BLOCK6_XLSX_UPDATE_20260502T000000Z</t>
        </is>
      </c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6" t="inlineStr">
        <is>
          <t>Jhaveri Contemporary</t>
        </is>
      </c>
      <c r="B48" s="27" t="n">
        <v>30</v>
      </c>
      <c r="C48" s="27" t="n">
        <v>30</v>
      </c>
      <c r="D48" s="27" t="n">
        <v>100</v>
      </c>
      <c r="E48" s="27" t="n">
        <v>30</v>
      </c>
      <c r="F48" s="27" t="n">
        <v>150</v>
      </c>
      <c r="G48" s="27" t="n">
        <v>30</v>
      </c>
      <c r="H48" s="27" t="n">
        <v>30</v>
      </c>
      <c r="I48" s="28" t="n">
        <v>24</v>
      </c>
      <c r="J48" s="28" t="n">
        <v>8</v>
      </c>
      <c r="K48" s="28" t="n">
        <v>33.33333333333334</v>
      </c>
      <c r="L48" s="28" t="n">
        <v>8</v>
      </c>
      <c r="M48" s="28" t="n">
        <v>24</v>
      </c>
      <c r="N48" s="29" t="n"/>
      <c r="O48" s="41" t="n">
        <v>46144</v>
      </c>
      <c r="P48" s="29" t="inlineStr">
        <is>
          <t>TASK_PHASE3_BLOCK6_XLSX_UPDATE_20260502T000000Z</t>
        </is>
      </c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6" t="inlineStr">
        <is>
          <t>Johyun Gallery</t>
        </is>
      </c>
      <c r="B49" s="27" t="n">
        <v>41</v>
      </c>
      <c r="C49" s="27" t="n">
        <v>41</v>
      </c>
      <c r="D49" s="27" t="n">
        <v>100</v>
      </c>
      <c r="E49" s="27" t="n">
        <v>41</v>
      </c>
      <c r="F49" s="27" t="n">
        <v>41</v>
      </c>
      <c r="G49" s="27" t="n">
        <v>41</v>
      </c>
      <c r="H49" s="27" t="n">
        <v>41</v>
      </c>
      <c r="I49" s="28" t="n">
        <v>16</v>
      </c>
      <c r="J49" s="28" t="n">
        <v>8</v>
      </c>
      <c r="K49" s="28" t="n">
        <v>50</v>
      </c>
      <c r="L49" s="28" t="n">
        <v>8</v>
      </c>
      <c r="M49" s="28" t="n">
        <v>16</v>
      </c>
      <c r="N49" s="29" t="n"/>
      <c r="O49" s="41" t="n">
        <v>46144</v>
      </c>
      <c r="P49" s="29" t="inlineStr">
        <is>
          <t>TASK_PHASE3_BLOCK6_XLSX_UPDATE_20260502T000000Z</t>
        </is>
      </c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6" t="inlineStr">
        <is>
          <t>Kalfayan Galleries</t>
        </is>
      </c>
      <c r="B50" s="27" t="n">
        <v>1</v>
      </c>
      <c r="C50" s="27" t="n">
        <v>1</v>
      </c>
      <c r="D50" s="27" t="n">
        <v>100</v>
      </c>
      <c r="E50" s="27" t="n">
        <v>1</v>
      </c>
      <c r="F50" s="27" t="n">
        <v>0</v>
      </c>
      <c r="G50" s="27" t="n">
        <v>1</v>
      </c>
      <c r="H50" s="27" t="n">
        <v>1</v>
      </c>
      <c r="I50" s="28" t="n">
        <v>7</v>
      </c>
      <c r="J50" s="28" t="n">
        <v>1</v>
      </c>
      <c r="K50" s="28" t="n">
        <v>14.28571428571429</v>
      </c>
      <c r="L50" s="28" t="n">
        <v>1</v>
      </c>
      <c r="M50" s="28" t="n">
        <v>7</v>
      </c>
      <c r="N50" s="29" t="n"/>
      <c r="O50" s="41" t="n">
        <v>46144</v>
      </c>
      <c r="P50" s="29" t="inlineStr">
        <is>
          <t>TASK_PHASE3_BLOCK6_XLSX_UPDATE_20260502T000000Z</t>
        </is>
      </c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6" t="inlineStr">
        <is>
          <t>Karma</t>
        </is>
      </c>
      <c r="B51" s="27" t="n">
        <v>49</v>
      </c>
      <c r="C51" s="27" t="n">
        <v>49</v>
      </c>
      <c r="D51" s="27" t="n">
        <v>100</v>
      </c>
      <c r="E51" s="27" t="n">
        <v>49</v>
      </c>
      <c r="F51" s="27" t="n">
        <v>66</v>
      </c>
      <c r="G51" s="27" t="n">
        <v>49</v>
      </c>
      <c r="H51" s="27" t="n">
        <v>49</v>
      </c>
      <c r="I51" s="28" t="n">
        <v>24</v>
      </c>
      <c r="J51" s="28" t="n">
        <v>8</v>
      </c>
      <c r="K51" s="28" t="n">
        <v>33.33333333333334</v>
      </c>
      <c r="L51" s="28" t="n">
        <v>8</v>
      </c>
      <c r="M51" s="28" t="n">
        <v>24</v>
      </c>
      <c r="N51" s="29" t="n"/>
      <c r="O51" s="41" t="n">
        <v>46144</v>
      </c>
      <c r="P51" s="29" t="inlineStr">
        <is>
          <t>TASK_PHASE3_BLOCK6_XLSX_UPDATE_20260502T000000Z</t>
        </is>
      </c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6" t="inlineStr">
        <is>
          <t>Galerie Krinzinger</t>
        </is>
      </c>
      <c r="B52" s="27" t="n">
        <v>80</v>
      </c>
      <c r="C52" s="27" t="n">
        <v>80</v>
      </c>
      <c r="D52" s="27" t="n">
        <v>100</v>
      </c>
      <c r="E52" s="27" t="n">
        <v>80</v>
      </c>
      <c r="F52" s="27" t="n">
        <v>563</v>
      </c>
      <c r="G52" s="27" t="n">
        <v>80</v>
      </c>
      <c r="H52" s="27" t="n">
        <v>80</v>
      </c>
      <c r="I52" s="28" t="n">
        <v>22</v>
      </c>
      <c r="J52" s="28" t="n">
        <v>15</v>
      </c>
      <c r="K52" s="28" t="n">
        <v>68.18181818181819</v>
      </c>
      <c r="L52" s="28" t="n">
        <v>16</v>
      </c>
      <c r="M52" s="28" t="n">
        <v>21</v>
      </c>
      <c r="N52" s="29" t="n"/>
      <c r="O52" s="41" t="n">
        <v>46151</v>
      </c>
      <c r="P52" s="29" t="inlineStr">
        <is>
          <t>TASK_PHASE3_BLOCK6_SKIP_REFLECT_20260509</t>
        </is>
      </c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6" t="inlineStr">
        <is>
          <t>Galerie Peter Kilchmann</t>
        </is>
      </c>
      <c r="B53" s="27" t="n">
        <v>43</v>
      </c>
      <c r="C53" s="27" t="n">
        <v>43</v>
      </c>
      <c r="D53" s="27" t="n">
        <v>100</v>
      </c>
      <c r="E53" s="27" t="n">
        <v>43</v>
      </c>
      <c r="F53" s="27" t="n">
        <v>411</v>
      </c>
      <c r="G53" s="27" t="n">
        <v>43</v>
      </c>
      <c r="H53" s="27" t="n">
        <v>43</v>
      </c>
      <c r="I53" s="28" t="n">
        <v>24</v>
      </c>
      <c r="J53" s="28" t="n">
        <v>16</v>
      </c>
      <c r="K53" s="28" t="n">
        <v>66.66666666666667</v>
      </c>
      <c r="L53" s="28" t="n">
        <v>16</v>
      </c>
      <c r="M53" s="28" t="n">
        <v>24</v>
      </c>
      <c r="N53" s="29" t="n"/>
      <c r="O53" s="41" t="n">
        <v>46151</v>
      </c>
      <c r="P53" s="29" t="inlineStr">
        <is>
          <t>TASK_PHASE3_BLOCK6_SKIP_REFLECT_20260509</t>
        </is>
      </c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6" t="inlineStr">
        <is>
          <t>Galerie Poggi</t>
        </is>
      </c>
      <c r="B54" s="27" t="n">
        <v>1</v>
      </c>
      <c r="C54" s="27" t="n">
        <v>1</v>
      </c>
      <c r="D54" s="27" t="n">
        <v>100</v>
      </c>
      <c r="E54" s="27" t="n">
        <v>1</v>
      </c>
      <c r="F54" s="27" t="n">
        <v>0</v>
      </c>
      <c r="G54" s="27" t="n">
        <v>1</v>
      </c>
      <c r="H54" s="27" t="n">
        <v>1</v>
      </c>
      <c r="I54" s="28" t="n">
        <v>2</v>
      </c>
      <c r="J54" s="28" t="n">
        <v>0</v>
      </c>
      <c r="K54" s="28" t="n">
        <v>0</v>
      </c>
      <c r="L54" s="28" t="n">
        <v>1</v>
      </c>
      <c r="M54" s="28" t="n">
        <v>1</v>
      </c>
      <c r="N54" s="29" t="inlineStr">
        <is>
          <t>human_skip_after_verify_first</t>
        </is>
      </c>
      <c r="O54" s="41" t="n">
        <v>46151</v>
      </c>
      <c r="P54" s="29" t="inlineStr">
        <is>
          <t>TASK_PHASE3_BLOCK6_SKIP_REFLECT_20260509</t>
        </is>
      </c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6" t="inlineStr">
        <is>
          <t>Galleria Lorcan O'Neill</t>
        </is>
      </c>
      <c r="B55" s="27" t="n">
        <v>0</v>
      </c>
      <c r="C55" s="27" t="n">
        <v>0</v>
      </c>
      <c r="D55" s="27" t="n"/>
      <c r="E55" s="27" t="n">
        <v>0</v>
      </c>
      <c r="F55" s="27" t="n">
        <v>0</v>
      </c>
      <c r="G55" s="27" t="n">
        <v>0</v>
      </c>
      <c r="H55" s="27" t="n">
        <v>0</v>
      </c>
      <c r="I55" s="28" t="n">
        <v>0</v>
      </c>
      <c r="J55" s="28" t="n">
        <v>0</v>
      </c>
      <c r="K55" s="28" t="n"/>
      <c r="L55" s="28" t="n">
        <v>0</v>
      </c>
      <c r="M55" s="28" t="n">
        <v>0</v>
      </c>
      <c r="N55" s="29" t="inlineStr">
        <is>
          <t>human_skip_after_verify_first</t>
        </is>
      </c>
      <c r="O55" s="41" t="n">
        <v>46151</v>
      </c>
      <c r="P55" s="29" t="inlineStr">
        <is>
          <t>TASK_PHASE3_BLOCK6_SKIP_REFLECT_20260509</t>
        </is>
      </c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6" t="inlineStr">
        <is>
          <t>Galleria Massimo Minini</t>
        </is>
      </c>
      <c r="B56" s="27" t="n">
        <v>80</v>
      </c>
      <c r="C56" s="27" t="n">
        <v>80</v>
      </c>
      <c r="D56" s="27" t="n">
        <v>100</v>
      </c>
      <c r="E56" s="27" t="n">
        <v>80</v>
      </c>
      <c r="F56" s="27" t="n">
        <v>444</v>
      </c>
      <c r="G56" s="27" t="n">
        <v>80</v>
      </c>
      <c r="H56" s="27" t="n">
        <v>80</v>
      </c>
      <c r="I56" s="28" t="n">
        <v>30</v>
      </c>
      <c r="J56" s="28" t="n">
        <v>11</v>
      </c>
      <c r="K56" s="28" t="n">
        <v>36.66666666666666</v>
      </c>
      <c r="L56" s="28" t="n">
        <v>16</v>
      </c>
      <c r="M56" s="28" t="n">
        <v>25</v>
      </c>
      <c r="N56" s="29" t="n"/>
      <c r="O56" s="41" t="n">
        <v>46151</v>
      </c>
      <c r="P56" s="29" t="inlineStr">
        <is>
          <t>TASK_PHASE3_BLOCK6_SKIP_REFLECT_20260509</t>
        </is>
      </c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6" t="inlineStr">
        <is>
          <t>Jane Lombard</t>
        </is>
      </c>
      <c r="B57" s="27" t="n">
        <v>23</v>
      </c>
      <c r="C57" s="27" t="n">
        <v>23</v>
      </c>
      <c r="D57" s="27" t="n">
        <v>100</v>
      </c>
      <c r="E57" s="27" t="n">
        <v>23</v>
      </c>
      <c r="F57" s="27" t="n">
        <v>101</v>
      </c>
      <c r="G57" s="27" t="n">
        <v>23</v>
      </c>
      <c r="H57" s="27" t="n">
        <v>23</v>
      </c>
      <c r="I57" s="28" t="n">
        <v>11</v>
      </c>
      <c r="J57" s="28" t="n">
        <v>9</v>
      </c>
      <c r="K57" s="28" t="n">
        <v>81.81818181818181</v>
      </c>
      <c r="L57" s="28" t="n">
        <v>10</v>
      </c>
      <c r="M57" s="28" t="n">
        <v>10</v>
      </c>
      <c r="N57" s="29" t="n"/>
      <c r="O57" s="41" t="n">
        <v>46151</v>
      </c>
      <c r="P57" s="29" t="inlineStr">
        <is>
          <t>TASK_PHASE3_BLOCK6_SKIP_REFLECT_20260509</t>
        </is>
      </c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6" t="inlineStr">
        <is>
          <t>Josh Lilley</t>
        </is>
      </c>
      <c r="B58" s="27" t="n">
        <v>27</v>
      </c>
      <c r="C58" s="27" t="n">
        <v>27</v>
      </c>
      <c r="D58" s="27" t="n">
        <v>100</v>
      </c>
      <c r="E58" s="27" t="n">
        <v>27</v>
      </c>
      <c r="F58" s="27" t="n">
        <v>1</v>
      </c>
      <c r="G58" s="27" t="n">
        <v>27</v>
      </c>
      <c r="H58" s="27" t="n">
        <v>27</v>
      </c>
      <c r="I58" s="28" t="n">
        <v>2</v>
      </c>
      <c r="J58" s="28" t="n">
        <v>0</v>
      </c>
      <c r="K58" s="28" t="n">
        <v>0</v>
      </c>
      <c r="L58" s="28" t="n">
        <v>0</v>
      </c>
      <c r="M58" s="28" t="n">
        <v>2</v>
      </c>
      <c r="N58" s="29" t="n"/>
      <c r="O58" s="41" t="n">
        <v>46151</v>
      </c>
      <c r="P58" s="29" t="inlineStr">
        <is>
          <t>TASK_PHASE3_BLOCK6_SKIP_REFLECT_20260509</t>
        </is>
      </c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6" t="inlineStr">
        <is>
          <t>Kasmin</t>
        </is>
      </c>
      <c r="B59" s="27" t="n">
        <v>44</v>
      </c>
      <c r="C59" s="27" t="n">
        <v>44</v>
      </c>
      <c r="D59" s="27" t="n">
        <v>100</v>
      </c>
      <c r="E59" s="27" t="n">
        <v>44</v>
      </c>
      <c r="F59" s="27" t="n">
        <v>0</v>
      </c>
      <c r="G59" s="27" t="n">
        <v>44</v>
      </c>
      <c r="H59" s="27" t="n">
        <v>44</v>
      </c>
      <c r="I59" s="28" t="n">
        <v>11</v>
      </c>
      <c r="J59" s="28" t="n">
        <v>10</v>
      </c>
      <c r="K59" s="28" t="n">
        <v>90.90909090909091</v>
      </c>
      <c r="L59" s="28" t="n">
        <v>10</v>
      </c>
      <c r="M59" s="28" t="n">
        <v>11</v>
      </c>
      <c r="N59" s="29" t="n"/>
      <c r="O59" s="41" t="n">
        <v>46151</v>
      </c>
      <c r="P59" s="29" t="inlineStr">
        <is>
          <t>TASK_PHASE3_BLOCK6_SKIP_REFLECT_20260509</t>
        </is>
      </c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6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6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6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6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6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6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6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6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6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6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6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6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6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6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6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6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6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6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6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6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6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6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6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6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6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6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6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6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6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6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6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6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6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6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6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6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6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6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6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6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6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6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6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6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6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6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6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6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6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6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6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6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6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6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6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6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6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6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6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6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6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6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6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6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6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6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6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6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6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6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6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6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6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6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6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6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6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6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6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6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6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6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6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6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6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6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6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6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6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6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6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6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6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6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6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6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6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6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6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6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6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6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6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6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6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6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6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6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6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6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6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6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6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6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6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6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6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6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6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6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6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6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6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6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6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6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6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6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6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6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6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6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6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6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6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6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6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6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6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6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6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6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6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6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6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6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6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6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6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6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6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6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6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6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6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6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6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6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6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6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6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6" t="n"/>
      <c r="B221" s="27" t="n"/>
      <c r="C221" s="27" t="n"/>
      <c r="D221" s="27" t="n"/>
      <c r="E221" s="27" t="n"/>
      <c r="F221" s="27" t="n"/>
      <c r="G221" s="27" t="n"/>
      <c r="H221" s="27" t="n"/>
      <c r="I221" s="28" t="n"/>
      <c r="J221" s="28" t="n"/>
      <c r="K221" s="28" t="n"/>
      <c r="L221" s="28" t="n"/>
      <c r="M221" s="28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1" t="n"/>
      <c r="C227" s="31" t="n"/>
      <c r="D227" s="31" t="n"/>
      <c r="E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86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2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33" t="inlineStr">
        <is>
          <t>A+ Works of Art</t>
        </is>
      </c>
      <c r="B3" s="17" t="n">
        <v>28</v>
      </c>
      <c r="C3" s="17" t="n">
        <v>28</v>
      </c>
      <c r="D3" s="17" t="n">
        <v>100</v>
      </c>
      <c r="E3" s="17" t="n">
        <v>28</v>
      </c>
      <c r="F3" s="17" t="n">
        <v>55</v>
      </c>
      <c r="G3" s="17" t="n">
        <v>28</v>
      </c>
      <c r="H3" s="17" t="n">
        <v>28</v>
      </c>
      <c r="I3" s="18" t="n">
        <v>9</v>
      </c>
      <c r="J3" s="18" t="n">
        <v>9</v>
      </c>
      <c r="K3" s="18" t="n">
        <v>100</v>
      </c>
      <c r="L3" s="18" t="n">
        <v>9</v>
      </c>
      <c r="M3" s="18" t="n">
        <v>9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33" t="inlineStr">
        <is>
          <t>Addis Fine Art</t>
        </is>
      </c>
      <c r="B4" s="17" t="n">
        <v>29</v>
      </c>
      <c r="C4" s="17" t="n">
        <v>20</v>
      </c>
      <c r="D4" s="17" t="n">
        <v>68.96551724137932</v>
      </c>
      <c r="E4" s="17" t="n">
        <v>25</v>
      </c>
      <c r="F4" s="17" t="n">
        <v>99</v>
      </c>
      <c r="G4" s="17" t="n">
        <v>24</v>
      </c>
      <c r="H4" s="17" t="n">
        <v>24</v>
      </c>
      <c r="I4" s="18" t="n">
        <v>8</v>
      </c>
      <c r="J4" s="18" t="n">
        <v>7</v>
      </c>
      <c r="K4" s="18" t="n">
        <v>87.5</v>
      </c>
      <c r="L4" s="18" t="n">
        <v>7</v>
      </c>
      <c r="M4" s="18" t="n">
        <v>8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33" t="inlineStr">
        <is>
          <t>Afriart Gallery</t>
        </is>
      </c>
      <c r="B5" s="17" t="n">
        <v>15</v>
      </c>
      <c r="C5" s="17" t="n">
        <v>15</v>
      </c>
      <c r="D5" s="17" t="n">
        <v>100</v>
      </c>
      <c r="E5" s="17" t="n">
        <v>15</v>
      </c>
      <c r="F5" s="17" t="n">
        <v>74</v>
      </c>
      <c r="G5" s="17" t="n">
        <v>25</v>
      </c>
      <c r="H5" s="17" t="n">
        <v>26</v>
      </c>
      <c r="I5" s="18" t="n">
        <v>9</v>
      </c>
      <c r="J5" s="18" t="n">
        <v>5</v>
      </c>
      <c r="K5" s="18" t="n">
        <v>55.55555555555556</v>
      </c>
      <c r="L5" s="18" t="n">
        <v>5</v>
      </c>
      <c r="M5" s="18" t="n">
        <v>9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33" t="inlineStr">
        <is>
          <t>Amanita</t>
        </is>
      </c>
      <c r="B6" s="17" t="n">
        <v>14</v>
      </c>
      <c r="C6" s="17" t="n">
        <v>14</v>
      </c>
      <c r="D6" s="17" t="n">
        <v>100</v>
      </c>
      <c r="E6" s="17" t="n">
        <v>14</v>
      </c>
      <c r="F6" s="17" t="n">
        <v>65</v>
      </c>
      <c r="G6" s="17" t="n">
        <v>24</v>
      </c>
      <c r="H6" s="17" t="n">
        <v>25</v>
      </c>
      <c r="I6" s="18" t="n">
        <v>16</v>
      </c>
      <c r="J6" s="18" t="n">
        <v>6</v>
      </c>
      <c r="K6" s="18" t="n">
        <v>37.5</v>
      </c>
      <c r="L6" s="18" t="n">
        <v>13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33" t="inlineStr">
        <is>
          <t>Anca Poteraşu Gallery</t>
        </is>
      </c>
      <c r="B7" s="17" t="n">
        <v>16</v>
      </c>
      <c r="C7" s="17" t="n">
        <v>16</v>
      </c>
      <c r="D7" s="17" t="n">
        <v>100</v>
      </c>
      <c r="E7" s="17" t="n">
        <v>16</v>
      </c>
      <c r="F7" s="17" t="n">
        <v>80</v>
      </c>
      <c r="G7" s="17" t="n">
        <v>16</v>
      </c>
      <c r="H7" s="17" t="n">
        <v>17</v>
      </c>
      <c r="I7" s="18" t="n">
        <v>11</v>
      </c>
      <c r="J7" s="18" t="n">
        <v>3</v>
      </c>
      <c r="K7" s="18" t="n">
        <v>27.27272727272727</v>
      </c>
      <c r="L7" s="18" t="n">
        <v>4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33" t="inlineStr">
        <is>
          <t>Blue Velvet</t>
        </is>
      </c>
      <c r="B8" s="17" t="n">
        <v>14</v>
      </c>
      <c r="C8" s="17" t="n">
        <v>14</v>
      </c>
      <c r="D8" s="17" t="n">
        <v>100</v>
      </c>
      <c r="E8" s="17" t="n">
        <v>14</v>
      </c>
      <c r="F8" s="17" t="n">
        <v>31</v>
      </c>
      <c r="G8" s="17" t="n">
        <v>14</v>
      </c>
      <c r="H8" s="17" t="n">
        <v>14</v>
      </c>
      <c r="I8" s="18" t="n">
        <v>7</v>
      </c>
      <c r="J8" s="18" t="n">
        <v>6</v>
      </c>
      <c r="K8" s="18" t="n">
        <v>85.71428571428571</v>
      </c>
      <c r="L8" s="18" t="n">
        <v>6</v>
      </c>
      <c r="M8" s="18" t="n">
        <v>7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33" t="inlineStr">
        <is>
          <t>Bombon</t>
        </is>
      </c>
      <c r="B9" s="17" t="n">
        <v>18</v>
      </c>
      <c r="C9" s="17" t="n">
        <v>18</v>
      </c>
      <c r="D9" s="17" t="n">
        <v>100</v>
      </c>
      <c r="E9" s="17" t="n">
        <v>18</v>
      </c>
      <c r="F9" s="17" t="n">
        <v>106</v>
      </c>
      <c r="G9" s="17" t="n">
        <v>18</v>
      </c>
      <c r="H9" s="17" t="n">
        <v>18</v>
      </c>
      <c r="I9" s="18" t="n">
        <v>10</v>
      </c>
      <c r="J9" s="18" t="n">
        <v>0</v>
      </c>
      <c r="K9" s="18" t="n">
        <v>0</v>
      </c>
      <c r="L9" s="18" t="n">
        <v>0</v>
      </c>
      <c r="M9" s="18" t="n">
        <v>10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33" t="inlineStr">
        <is>
          <t>Brunette Coleman</t>
        </is>
      </c>
      <c r="B10" s="17" t="n">
        <v>6</v>
      </c>
      <c r="C10" s="17" t="n">
        <v>6</v>
      </c>
      <c r="D10" s="17" t="n">
        <v>100</v>
      </c>
      <c r="E10" s="17" t="n">
        <v>6</v>
      </c>
      <c r="F10" s="17" t="n">
        <v>42</v>
      </c>
      <c r="G10" s="17" t="n">
        <v>6</v>
      </c>
      <c r="H10" s="17" t="n">
        <v>6</v>
      </c>
      <c r="I10" s="18" t="n">
        <v>12</v>
      </c>
      <c r="J10" s="18" t="n">
        <v>11</v>
      </c>
      <c r="K10" s="18" t="n">
        <v>91.66666666666667</v>
      </c>
      <c r="L10" s="18" t="n">
        <v>11</v>
      </c>
      <c r="M10" s="18" t="n">
        <v>12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33" t="inlineStr">
        <is>
          <t>Callirrhoë</t>
        </is>
      </c>
      <c r="B11" s="17" t="n">
        <v>1</v>
      </c>
      <c r="C11" s="17" t="n">
        <v>1</v>
      </c>
      <c r="D11" s="17" t="n">
        <v>100</v>
      </c>
      <c r="E11" s="17" t="n">
        <v>1</v>
      </c>
      <c r="F11" s="17" t="n">
        <v>0</v>
      </c>
      <c r="G11" s="17" t="n">
        <v>4</v>
      </c>
      <c r="H11" s="17" t="n">
        <v>4</v>
      </c>
      <c r="I11" s="18" t="n">
        <v>1</v>
      </c>
      <c r="J11" s="18" t="n">
        <v>0</v>
      </c>
      <c r="K11" s="18" t="n">
        <v>0</v>
      </c>
      <c r="L11" s="18" t="n">
        <v>0</v>
      </c>
      <c r="M11" s="18" t="n">
        <v>3</v>
      </c>
      <c r="N11" s="19" t="n"/>
      <c r="O11" s="20" t="n">
        <v>46123</v>
      </c>
      <c r="P11" s="24" t="inlineStr">
        <is>
          <t>TASK_PHASE3_FIX5_ARTIST_MATCH_RESYNC_20260411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33" t="inlineStr">
        <is>
          <t>Chris Sharp Gallery</t>
        </is>
      </c>
      <c r="B12" s="17" t="n">
        <v>18</v>
      </c>
      <c r="C12" s="17" t="n">
        <v>18</v>
      </c>
      <c r="D12" s="17" t="n">
        <v>100</v>
      </c>
      <c r="E12" s="17" t="n">
        <v>18</v>
      </c>
      <c r="F12" s="17" t="n">
        <v>33</v>
      </c>
      <c r="G12" s="17" t="n">
        <v>18</v>
      </c>
      <c r="H12" s="17" t="n">
        <v>18</v>
      </c>
      <c r="I12" s="18" t="n">
        <v>9</v>
      </c>
      <c r="J12" s="18" t="n">
        <v>7</v>
      </c>
      <c r="K12" s="18" t="n">
        <v>77.77777777777777</v>
      </c>
      <c r="L12" s="18" t="n">
        <v>7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33" t="inlineStr">
        <is>
          <t>Ciaccia Levi</t>
        </is>
      </c>
      <c r="B13" s="17" t="n">
        <v>15</v>
      </c>
      <c r="C13" s="17" t="n">
        <v>15</v>
      </c>
      <c r="D13" s="17" t="n">
        <v>100</v>
      </c>
      <c r="E13" s="17" t="n">
        <v>15</v>
      </c>
      <c r="F13" s="17" t="n">
        <v>8</v>
      </c>
      <c r="G13" s="17" t="n">
        <v>15</v>
      </c>
      <c r="H13" s="17" t="n">
        <v>15</v>
      </c>
      <c r="I13" s="18" t="n">
        <v>2</v>
      </c>
      <c r="J13" s="18" t="n">
        <v>2</v>
      </c>
      <c r="K13" s="18" t="n">
        <v>100</v>
      </c>
      <c r="L13" s="18" t="n">
        <v>2</v>
      </c>
      <c r="M13" s="18" t="n">
        <v>2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33" t="inlineStr">
        <is>
          <t>Cibrián</t>
        </is>
      </c>
      <c r="B14" s="17" t="n">
        <v>8</v>
      </c>
      <c r="C14" s="17" t="n">
        <v>8</v>
      </c>
      <c r="D14" s="17" t="n">
        <v>100</v>
      </c>
      <c r="E14" s="17" t="n">
        <v>8</v>
      </c>
      <c r="F14" s="17" t="n">
        <v>35</v>
      </c>
      <c r="G14" s="17" t="n">
        <v>8</v>
      </c>
      <c r="H14" s="17" t="n">
        <v>8</v>
      </c>
      <c r="I14" s="18" t="n">
        <v>3</v>
      </c>
      <c r="J14" s="18" t="n">
        <v>0</v>
      </c>
      <c r="K14" s="18" t="n">
        <v>0</v>
      </c>
      <c r="L14" s="18" t="n">
        <v>1</v>
      </c>
      <c r="M14" s="18" t="n">
        <v>2</v>
      </c>
      <c r="N14" s="19" t="n"/>
      <c r="O14" s="20" t="n">
        <v>46123</v>
      </c>
      <c r="P14" s="24" t="inlineStr">
        <is>
          <t>TASK_PHASE3_FIX5_ARTIST_MATCH_RESYNC_20260411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33" t="inlineStr">
        <is>
          <t>City Galerie Wien</t>
        </is>
      </c>
      <c r="B15" s="17" t="n">
        <v>0</v>
      </c>
      <c r="C15" s="17" t="n">
        <v>0</v>
      </c>
      <c r="D15" s="25" t="n"/>
      <c r="E15" s="17" t="n">
        <v>0</v>
      </c>
      <c r="F15" s="17" t="n">
        <v>0</v>
      </c>
      <c r="G15" s="17" t="n">
        <v>0</v>
      </c>
      <c r="H15" s="17" t="n">
        <v>0</v>
      </c>
      <c r="I15" s="18" t="n">
        <v>0</v>
      </c>
      <c r="J15" s="18" t="n">
        <v>0</v>
      </c>
      <c r="K15" s="34" t="n"/>
      <c r="L15" s="18" t="n">
        <v>0</v>
      </c>
      <c r="M15" s="18" t="n">
        <v>0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33" t="inlineStr">
        <is>
          <t>Clima</t>
        </is>
      </c>
      <c r="B16" s="17" t="n">
        <v>12</v>
      </c>
      <c r="C16" s="17" t="n">
        <v>12</v>
      </c>
      <c r="D16" s="17" t="n">
        <v>100</v>
      </c>
      <c r="E16" s="17" t="n">
        <v>12</v>
      </c>
      <c r="F16" s="17" t="n">
        <v>60</v>
      </c>
      <c r="G16" s="17" t="n">
        <v>12</v>
      </c>
      <c r="H16" s="17" t="n">
        <v>12</v>
      </c>
      <c r="I16" s="18" t="n">
        <v>5</v>
      </c>
      <c r="J16" s="18" t="n">
        <v>5</v>
      </c>
      <c r="K16" s="18" t="n">
        <v>100</v>
      </c>
      <c r="L16" s="18" t="n">
        <v>5</v>
      </c>
      <c r="M16" s="18" t="n">
        <v>5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33" t="inlineStr">
        <is>
          <t>Commune</t>
        </is>
      </c>
      <c r="B17" s="17" t="n">
        <v>4</v>
      </c>
      <c r="C17" s="17" t="n">
        <v>4</v>
      </c>
      <c r="D17" s="17" t="n">
        <v>100</v>
      </c>
      <c r="E17" s="17" t="n">
        <v>4</v>
      </c>
      <c r="F17" s="17" t="n">
        <v>17</v>
      </c>
      <c r="G17" s="17" t="n">
        <v>4</v>
      </c>
      <c r="H17" s="17" t="n">
        <v>4</v>
      </c>
      <c r="I17" s="18" t="n">
        <v>7</v>
      </c>
      <c r="J17" s="18" t="n">
        <v>6</v>
      </c>
      <c r="K17" s="18" t="n">
        <v>85.71428571428571</v>
      </c>
      <c r="L17" s="18" t="n">
        <v>6</v>
      </c>
      <c r="M17" s="18" t="n">
        <v>7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33" t="inlineStr">
        <is>
          <t>Copperfield</t>
        </is>
      </c>
      <c r="B18" s="17" t="n">
        <v>0</v>
      </c>
      <c r="C18" s="17" t="n">
        <v>0</v>
      </c>
      <c r="D18" s="25" t="n"/>
      <c r="E18" s="17" t="n">
        <v>0</v>
      </c>
      <c r="F18" s="17" t="n">
        <v>0</v>
      </c>
      <c r="G18" s="17" t="n">
        <v>0</v>
      </c>
      <c r="H18" s="17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33" t="inlineStr">
        <is>
          <t>Coulisse Gallery</t>
        </is>
      </c>
      <c r="B19" s="17" t="n">
        <v>0</v>
      </c>
      <c r="C19" s="17" t="n">
        <v>0</v>
      </c>
      <c r="D19" s="25" t="n"/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33" t="inlineStr">
        <is>
          <t>Damien &amp; The Love Guru</t>
        </is>
      </c>
      <c r="B20" s="17" t="n">
        <v>16</v>
      </c>
      <c r="C20" s="17" t="n">
        <v>15</v>
      </c>
      <c r="D20" s="17" t="n">
        <v>93.75</v>
      </c>
      <c r="E20" s="17" t="n">
        <v>15</v>
      </c>
      <c r="F20" s="17" t="n">
        <v>75</v>
      </c>
      <c r="G20" s="17" t="n">
        <v>16</v>
      </c>
      <c r="H20" s="17" t="n">
        <v>16</v>
      </c>
      <c r="I20" s="18" t="n">
        <v>9</v>
      </c>
      <c r="J20" s="18" t="n">
        <v>5</v>
      </c>
      <c r="K20" s="18" t="n">
        <v>55.55555555555556</v>
      </c>
      <c r="L20" s="18" t="n">
        <v>5</v>
      </c>
      <c r="M20" s="18" t="n">
        <v>9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33" t="inlineStr">
        <is>
          <t>diez</t>
        </is>
      </c>
      <c r="B21" s="17" t="n">
        <v>4</v>
      </c>
      <c r="C21" s="17" t="n">
        <v>4</v>
      </c>
      <c r="D21" s="17" t="n">
        <v>100</v>
      </c>
      <c r="E21" s="17" t="n">
        <v>4</v>
      </c>
      <c r="F21" s="17" t="n">
        <v>13</v>
      </c>
      <c r="G21" s="17" t="n">
        <v>4</v>
      </c>
      <c r="H21" s="17" t="n">
        <v>4</v>
      </c>
      <c r="I21" s="18" t="n">
        <v>6</v>
      </c>
      <c r="J21" s="18" t="n">
        <v>1</v>
      </c>
      <c r="K21" s="18" t="n">
        <v>16.66666666666667</v>
      </c>
      <c r="L21" s="18" t="n">
        <v>2</v>
      </c>
      <c r="M21" s="18" t="n">
        <v>5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33" t="inlineStr">
        <is>
          <t>Drei</t>
        </is>
      </c>
      <c r="B22" s="17" t="n">
        <v>10</v>
      </c>
      <c r="C22" s="17" t="n">
        <v>10</v>
      </c>
      <c r="D22" s="17" t="n">
        <v>100</v>
      </c>
      <c r="E22" s="17" t="n">
        <v>10</v>
      </c>
      <c r="F22" s="17" t="n">
        <v>50</v>
      </c>
      <c r="G22" s="17" t="n">
        <v>10</v>
      </c>
      <c r="H22" s="17" t="n">
        <v>10</v>
      </c>
      <c r="I22" s="18" t="n">
        <v>1</v>
      </c>
      <c r="J22" s="18" t="n">
        <v>0</v>
      </c>
      <c r="K22" s="18" t="n">
        <v>0</v>
      </c>
      <c r="L22" s="18" t="n">
        <v>1</v>
      </c>
      <c r="M22" s="18" t="n">
        <v>0</v>
      </c>
      <c r="N22" s="19" t="n"/>
      <c r="O22" s="26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33" t="inlineStr">
        <is>
          <t>Ehrlich Steinberg</t>
        </is>
      </c>
      <c r="B23" s="17" t="n">
        <v>6</v>
      </c>
      <c r="C23" s="17" t="n">
        <v>6</v>
      </c>
      <c r="D23" s="17" t="n">
        <v>100</v>
      </c>
      <c r="E23" s="17" t="n">
        <v>6</v>
      </c>
      <c r="F23" s="17" t="n">
        <v>30</v>
      </c>
      <c r="G23" s="17" t="n">
        <v>6</v>
      </c>
      <c r="H23" s="17" t="n">
        <v>6</v>
      </c>
      <c r="I23" s="18" t="n">
        <v>5</v>
      </c>
      <c r="J23" s="18" t="n">
        <v>3</v>
      </c>
      <c r="K23" s="18" t="n">
        <v>60</v>
      </c>
      <c r="L23" s="18" t="n">
        <v>3</v>
      </c>
      <c r="M23" s="18" t="n">
        <v>5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33" t="inlineStr">
        <is>
          <t>Final Hot Desert</t>
        </is>
      </c>
      <c r="B24" s="17" t="n">
        <v>3</v>
      </c>
      <c r="C24" s="17" t="n">
        <v>3</v>
      </c>
      <c r="D24" s="17" t="n">
        <v>100</v>
      </c>
      <c r="E24" s="17" t="n">
        <v>3</v>
      </c>
      <c r="F24" s="17" t="n">
        <v>4</v>
      </c>
      <c r="G24" s="17" t="n">
        <v>3</v>
      </c>
      <c r="H24" s="17" t="n">
        <v>3</v>
      </c>
      <c r="I24" s="18" t="n">
        <v>10</v>
      </c>
      <c r="J24" s="18" t="n">
        <v>2</v>
      </c>
      <c r="K24" s="18" t="n">
        <v>20</v>
      </c>
      <c r="L24" s="18" t="n">
        <v>8</v>
      </c>
      <c r="M24" s="18" t="n">
        <v>4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33" t="inlineStr">
        <is>
          <t>G Gallery</t>
        </is>
      </c>
      <c r="B25" s="17" t="n">
        <v>8</v>
      </c>
      <c r="C25" s="17" t="n">
        <v>8</v>
      </c>
      <c r="D25" s="17" t="n">
        <v>100</v>
      </c>
      <c r="E25" s="17" t="n">
        <v>8</v>
      </c>
      <c r="F25" s="17" t="n">
        <v>37</v>
      </c>
      <c r="G25" s="17" t="n">
        <v>8</v>
      </c>
      <c r="H25" s="17" t="n">
        <v>8</v>
      </c>
      <c r="I25" s="18" t="n">
        <v>1</v>
      </c>
      <c r="J25" s="18" t="n">
        <v>0</v>
      </c>
      <c r="K25" s="18" t="n">
        <v>0</v>
      </c>
      <c r="L25" s="18" t="n">
        <v>0</v>
      </c>
      <c r="M25" s="18" t="n">
        <v>1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33" t="inlineStr">
        <is>
          <t>Gauli Zitter</t>
        </is>
      </c>
      <c r="B26" s="17" t="n">
        <v>0</v>
      </c>
      <c r="C26" s="17" t="n">
        <v>0</v>
      </c>
      <c r="D26" s="25" t="n"/>
      <c r="E26" s="17" t="n">
        <v>0</v>
      </c>
      <c r="F26" s="17" t="n">
        <v>0</v>
      </c>
      <c r="G26" s="17" t="n">
        <v>0</v>
      </c>
      <c r="H26" s="17" t="n">
        <v>0</v>
      </c>
      <c r="I26" s="18" t="n">
        <v>4</v>
      </c>
      <c r="J26" s="18" t="n">
        <v>3</v>
      </c>
      <c r="K26" s="18" t="n">
        <v>75</v>
      </c>
      <c r="L26" s="18" t="n">
        <v>3</v>
      </c>
      <c r="M26" s="18" t="n">
        <v>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3" t="inlineStr">
        <is>
          <t>Harlesden High Street</t>
        </is>
      </c>
      <c r="B27" s="17" t="n">
        <v>17</v>
      </c>
      <c r="C27" s="17" t="n">
        <v>17</v>
      </c>
      <c r="D27" s="17" t="n">
        <v>100</v>
      </c>
      <c r="E27" s="17" t="n">
        <v>17</v>
      </c>
      <c r="F27" s="17" t="n">
        <v>14</v>
      </c>
      <c r="G27" s="17" t="n">
        <v>17</v>
      </c>
      <c r="H27" s="17" t="n">
        <v>17</v>
      </c>
      <c r="I27" s="18" t="n">
        <v>4</v>
      </c>
      <c r="J27" s="18" t="n">
        <v>0</v>
      </c>
      <c r="K27" s="18" t="n">
        <v>0</v>
      </c>
      <c r="L27" s="18" t="n">
        <v>3</v>
      </c>
      <c r="M27" s="18" t="n">
        <v>1</v>
      </c>
      <c r="N27" s="19" t="n"/>
      <c r="O27" s="26" t="n">
        <v>46123</v>
      </c>
      <c r="P27" s="24" t="inlineStr">
        <is>
          <t>TASK_PHASE3_FIX5_ARTIST_MATCH_RESYNC_20260411</t>
        </is>
      </c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2" t="n"/>
    </row>
    <row r="28" ht="15.75" customHeight="1" s="40">
      <c r="A28" s="35" t="inlineStr">
        <is>
          <t>Laveronica</t>
        </is>
      </c>
      <c r="B28" s="27" t="n">
        <v>13</v>
      </c>
      <c r="C28" s="27" t="n">
        <v>13</v>
      </c>
      <c r="D28" s="27" t="n">
        <v>100</v>
      </c>
      <c r="E28" s="27" t="n">
        <v>13</v>
      </c>
      <c r="F28" s="27" t="n">
        <v>64</v>
      </c>
      <c r="G28" s="27" t="n">
        <v>13</v>
      </c>
      <c r="H28" s="27" t="n">
        <v>13</v>
      </c>
      <c r="I28" s="28" t="n">
        <v>4</v>
      </c>
      <c r="J28" s="28" t="n">
        <v>3</v>
      </c>
      <c r="K28" s="28" t="n">
        <v>75</v>
      </c>
      <c r="L28" s="28" t="n">
        <v>4</v>
      </c>
      <c r="M28" s="28" t="n">
        <v>5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5" t="inlineStr">
        <is>
          <t>Livie Gallery</t>
        </is>
      </c>
      <c r="B29" s="27" t="n">
        <v>1</v>
      </c>
      <c r="C29" s="27" t="n">
        <v>1</v>
      </c>
      <c r="D29" s="27" t="n">
        <v>100</v>
      </c>
      <c r="E29" s="27" t="n">
        <v>1</v>
      </c>
      <c r="F29" s="27" t="n">
        <v>4</v>
      </c>
      <c r="G29" s="27" t="n">
        <v>1</v>
      </c>
      <c r="H29" s="27" t="n">
        <v>1</v>
      </c>
      <c r="I29" s="28" t="n">
        <v>3</v>
      </c>
      <c r="J29" s="28" t="n">
        <v>3</v>
      </c>
      <c r="K29" s="28" t="n">
        <v>100</v>
      </c>
      <c r="L29" s="28" t="n">
        <v>3</v>
      </c>
      <c r="M29" s="28" t="n">
        <v>3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5" t="inlineStr">
        <is>
          <t>Lodos</t>
        </is>
      </c>
      <c r="B30" s="27" t="n">
        <v>8</v>
      </c>
      <c r="C30" s="27" t="n">
        <v>8</v>
      </c>
      <c r="D30" s="27" t="n">
        <v>100</v>
      </c>
      <c r="E30" s="27" t="n">
        <v>8</v>
      </c>
      <c r="F30" s="27" t="n">
        <v>0</v>
      </c>
      <c r="G30" s="27" t="n">
        <v>8</v>
      </c>
      <c r="H30" s="27" t="n">
        <v>8</v>
      </c>
      <c r="I30" s="28" t="n">
        <v>8</v>
      </c>
      <c r="J30" s="28" t="n">
        <v>6</v>
      </c>
      <c r="K30" s="28" t="n">
        <v>75</v>
      </c>
      <c r="L30" s="28" t="n">
        <v>7</v>
      </c>
      <c r="M30" s="28" t="n">
        <v>7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5" t="inlineStr">
        <is>
          <t>Lodovico Corsini</t>
        </is>
      </c>
      <c r="B31" s="27" t="n">
        <v>11</v>
      </c>
      <c r="C31" s="27" t="n">
        <v>11</v>
      </c>
      <c r="D31" s="27" t="n">
        <v>100</v>
      </c>
      <c r="E31" s="27" t="n">
        <v>11</v>
      </c>
      <c r="F31" s="27" t="n">
        <v>47</v>
      </c>
      <c r="G31" s="27" t="n">
        <v>11</v>
      </c>
      <c r="H31" s="27" t="n">
        <v>11</v>
      </c>
      <c r="I31" s="28" t="n">
        <v>4</v>
      </c>
      <c r="J31" s="28" t="n">
        <v>2</v>
      </c>
      <c r="K31" s="28" t="n">
        <v>50</v>
      </c>
      <c r="L31" s="28" t="n">
        <v>2</v>
      </c>
      <c r="M31" s="28" t="n">
        <v>4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5" t="inlineStr">
        <is>
          <t>Lucas Hirsch</t>
        </is>
      </c>
      <c r="B32" s="27" t="n">
        <v>8</v>
      </c>
      <c r="C32" s="27" t="n">
        <v>8</v>
      </c>
      <c r="D32" s="27" t="n">
        <v>100</v>
      </c>
      <c r="E32" s="27" t="n">
        <v>8</v>
      </c>
      <c r="F32" s="27" t="n">
        <v>40</v>
      </c>
      <c r="G32" s="27" t="n">
        <v>8</v>
      </c>
      <c r="H32" s="27" t="n">
        <v>8</v>
      </c>
      <c r="I32" s="28" t="n">
        <v>0</v>
      </c>
      <c r="J32" s="28" t="n">
        <v>0</v>
      </c>
      <c r="K32" s="28" t="n"/>
      <c r="L32" s="28" t="n">
        <v>0</v>
      </c>
      <c r="M32" s="28" t="n">
        <v>0</v>
      </c>
      <c r="N32" s="29" t="n"/>
      <c r="O32" s="41" t="n">
        <v>46126</v>
      </c>
      <c r="P32" s="29" t="inlineStr">
        <is>
          <t>TASK_PHASE3_SCOPE10_CLOSEOUT_APPLY_NO_R2_20260414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5" t="inlineStr">
        <is>
          <t>Magenta Plains</t>
        </is>
      </c>
      <c r="B33" s="27" t="n">
        <v>20</v>
      </c>
      <c r="C33" s="27" t="n">
        <v>20</v>
      </c>
      <c r="D33" s="27" t="n">
        <v>100</v>
      </c>
      <c r="E33" s="27" t="n">
        <v>20</v>
      </c>
      <c r="F33" s="27" t="n">
        <v>100</v>
      </c>
      <c r="G33" s="27" t="n">
        <v>20</v>
      </c>
      <c r="H33" s="27" t="n">
        <v>20</v>
      </c>
      <c r="I33" s="28" t="n">
        <v>16</v>
      </c>
      <c r="J33" s="28" t="n">
        <v>8</v>
      </c>
      <c r="K33" s="28" t="n">
        <v>50</v>
      </c>
      <c r="L33" s="28" t="n">
        <v>8</v>
      </c>
      <c r="M33" s="28" t="n">
        <v>16</v>
      </c>
      <c r="N33" s="29" t="inlineStr">
        <is>
          <t>early_review_20260421; artist_target_pct=100.0; exhibition_target_met=True; residual=none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5" t="inlineStr">
        <is>
          <t>Margot Samel</t>
        </is>
      </c>
      <c r="B34" s="27" t="n">
        <v>9</v>
      </c>
      <c r="C34" s="27" t="n">
        <v>9</v>
      </c>
      <c r="D34" s="27" t="n">
        <v>100</v>
      </c>
      <c r="E34" s="27" t="n">
        <v>9</v>
      </c>
      <c r="F34" s="27" t="n">
        <v>44</v>
      </c>
      <c r="G34" s="27" t="n">
        <v>9</v>
      </c>
      <c r="H34" s="27" t="n">
        <v>9</v>
      </c>
      <c r="I34" s="28" t="n">
        <v>17</v>
      </c>
      <c r="J34" s="28" t="n">
        <v>7</v>
      </c>
      <c r="K34" s="28" t="n">
        <v>41.1764705882353</v>
      </c>
      <c r="L34" s="28" t="n">
        <v>8</v>
      </c>
      <c r="M34" s="28" t="n">
        <v>16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5" t="inlineStr">
        <is>
          <t>max goelitz</t>
        </is>
      </c>
      <c r="B35" s="27" t="n">
        <v>40</v>
      </c>
      <c r="C35" s="27" t="n">
        <v>40</v>
      </c>
      <c r="D35" s="27" t="n">
        <v>100</v>
      </c>
      <c r="E35" s="27" t="n">
        <v>40</v>
      </c>
      <c r="F35" s="27" t="n">
        <v>235</v>
      </c>
      <c r="G35" s="27" t="n">
        <v>40</v>
      </c>
      <c r="H35" s="27" t="n">
        <v>40</v>
      </c>
      <c r="I35" s="28" t="n">
        <v>11</v>
      </c>
      <c r="J35" s="28" t="n">
        <v>8</v>
      </c>
      <c r="K35" s="28" t="n">
        <v>72.72727272727273</v>
      </c>
      <c r="L35" s="28" t="n">
        <v>8</v>
      </c>
      <c r="M35" s="28" t="n">
        <v>11</v>
      </c>
      <c r="N35" s="29" t="inlineStr">
        <is>
          <t>early_review_20260421; artist_target_pct=55.0; exhibition_target_met=True; residual=artist_image_below_70pct(55.00)</t>
        </is>
      </c>
      <c r="O35" s="41" t="n">
        <v>46134</v>
      </c>
      <c r="P35" s="29" t="inlineStr">
        <is>
          <t>TASK_PHASE3_BLOCK_CLOSEOUT_ARTIST_SOURCE_REAPPLY_20260422T0015Z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5" t="inlineStr">
        <is>
          <t>Nicoletti</t>
        </is>
      </c>
      <c r="B36" s="27" t="n">
        <v>12</v>
      </c>
      <c r="C36" s="27" t="n">
        <v>12</v>
      </c>
      <c r="D36" s="27" t="n">
        <v>100</v>
      </c>
      <c r="E36" s="27" t="n">
        <v>12</v>
      </c>
      <c r="F36" s="27" t="n">
        <v>0</v>
      </c>
      <c r="G36" s="27" t="n">
        <v>12</v>
      </c>
      <c r="H36" s="27" t="n">
        <v>12</v>
      </c>
      <c r="I36" s="28" t="n">
        <v>8</v>
      </c>
      <c r="J36" s="28" t="n">
        <v>0</v>
      </c>
      <c r="K36" s="28" t="n">
        <v>0</v>
      </c>
      <c r="L36" s="28" t="n">
        <v>0</v>
      </c>
      <c r="M36" s="28" t="n">
        <v>8</v>
      </c>
      <c r="N36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5" t="inlineStr">
        <is>
          <t>Öktem Aykut</t>
        </is>
      </c>
      <c r="B37" s="27" t="n">
        <v>20</v>
      </c>
      <c r="C37" s="27" t="n">
        <v>20</v>
      </c>
      <c r="D37" s="27" t="n">
        <v>100</v>
      </c>
      <c r="E37" s="27" t="n">
        <v>20</v>
      </c>
      <c r="F37" s="27" t="n">
        <v>94</v>
      </c>
      <c r="G37" s="27" t="n">
        <v>20</v>
      </c>
      <c r="H37" s="27" t="n">
        <v>20</v>
      </c>
      <c r="I37" s="28" t="n">
        <v>6</v>
      </c>
      <c r="J37" s="28" t="n">
        <v>3</v>
      </c>
      <c r="K37" s="28" t="n">
        <v>50</v>
      </c>
      <c r="L37" s="28" t="n">
        <v>3</v>
      </c>
      <c r="M37" s="28" t="n">
        <v>6</v>
      </c>
      <c r="N37" s="29" t="inlineStr">
        <is>
          <t>early_review_20260421; artist_target_pct=70.0; exhibition_target_met=True; residual=none</t>
        </is>
      </c>
      <c r="O37" s="41" t="n">
        <v>46134</v>
      </c>
      <c r="P37" s="29" t="inlineStr">
        <is>
          <t>TASK_PHASE3_BLOCK_CLOSEOUT_ARTIST_SOURCE_REAPPLY_20260422T0015Z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5" t="inlineStr">
        <is>
          <t>Paulina Caspari</t>
        </is>
      </c>
      <c r="B38" s="27" t="n">
        <v>1</v>
      </c>
      <c r="C38" s="27" t="n">
        <v>1</v>
      </c>
      <c r="D38" s="27" t="n">
        <v>100</v>
      </c>
      <c r="E38" s="27" t="n">
        <v>1</v>
      </c>
      <c r="F38" s="27" t="n">
        <v>0</v>
      </c>
      <c r="G38" s="27" t="n">
        <v>1</v>
      </c>
      <c r="H38" s="27" t="n">
        <v>1</v>
      </c>
      <c r="I38" s="28" t="n">
        <v>10</v>
      </c>
      <c r="J38" s="28" t="n">
        <v>8</v>
      </c>
      <c r="K38" s="28" t="n">
        <v>80</v>
      </c>
      <c r="L38" s="28" t="n">
        <v>9</v>
      </c>
      <c r="M38" s="28" t="n">
        <v>9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5" t="inlineStr">
        <is>
          <t>Petrine</t>
        </is>
      </c>
      <c r="B39" s="27" t="n">
        <v>0</v>
      </c>
      <c r="C39" s="27" t="n">
        <v>0</v>
      </c>
      <c r="D39" s="27" t="n"/>
      <c r="E39" s="27" t="n">
        <v>0</v>
      </c>
      <c r="F39" s="27" t="n">
        <v>0</v>
      </c>
      <c r="G39" s="27" t="n">
        <v>0</v>
      </c>
      <c r="H39" s="27" t="n">
        <v>0</v>
      </c>
      <c r="I39" s="28" t="n">
        <v>6</v>
      </c>
      <c r="J39" s="28" t="n">
        <v>0</v>
      </c>
      <c r="K39" s="28" t="n">
        <v>0</v>
      </c>
      <c r="L39" s="28" t="n">
        <v>6</v>
      </c>
      <c r="M39" s="28" t="n">
        <v>1</v>
      </c>
      <c r="N39" s="29" t="n"/>
      <c r="O39" s="41" t="n">
        <v>46134</v>
      </c>
      <c r="P39" s="29" t="inlineStr">
        <is>
          <t>TASK_PHASE3_RAW_REBUILD_VERIFY_FIRST_20260422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5" t="inlineStr">
        <is>
          <t>Rose Easton</t>
        </is>
      </c>
      <c r="B40" s="27" t="n">
        <v>2</v>
      </c>
      <c r="C40" s="27" t="n">
        <v>2</v>
      </c>
      <c r="D40" s="27" t="n">
        <v>100</v>
      </c>
      <c r="E40" s="27" t="n">
        <v>2</v>
      </c>
      <c r="F40" s="27" t="n">
        <v>0</v>
      </c>
      <c r="G40" s="27" t="n">
        <v>2</v>
      </c>
      <c r="H40" s="27" t="n">
        <v>2</v>
      </c>
      <c r="I40" s="28" t="n">
        <v>7</v>
      </c>
      <c r="J40" s="28" t="n">
        <v>7</v>
      </c>
      <c r="K40" s="28" t="n">
        <v>100</v>
      </c>
      <c r="L40" s="28" t="n">
        <v>7</v>
      </c>
      <c r="M40" s="28" t="n">
        <v>7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5" t="inlineStr">
        <is>
          <t>Schiefe Zähne</t>
        </is>
      </c>
      <c r="B41" s="27" t="n">
        <v>9</v>
      </c>
      <c r="C41" s="27" t="n">
        <v>9</v>
      </c>
      <c r="D41" s="27" t="n">
        <v>100</v>
      </c>
      <c r="E41" s="27" t="n">
        <v>9</v>
      </c>
      <c r="F41" s="27" t="n">
        <v>43</v>
      </c>
      <c r="G41" s="27" t="n">
        <v>9</v>
      </c>
      <c r="H41" s="27" t="n">
        <v>9</v>
      </c>
      <c r="I41" s="28" t="n">
        <v>34</v>
      </c>
      <c r="J41" s="28" t="n">
        <v>15</v>
      </c>
      <c r="K41" s="28" t="n">
        <v>44.11764705882353</v>
      </c>
      <c r="L41" s="28" t="n">
        <v>24</v>
      </c>
      <c r="M41" s="28" t="n">
        <v>25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5" t="inlineStr">
        <is>
          <t>Silke Lindner</t>
        </is>
      </c>
      <c r="B42" s="27" t="n">
        <v>0</v>
      </c>
      <c r="C42" s="27" t="n">
        <v>0</v>
      </c>
      <c r="D42" s="27" t="n"/>
      <c r="E42" s="27" t="n">
        <v>0</v>
      </c>
      <c r="F42" s="27" t="n">
        <v>0</v>
      </c>
      <c r="G42" s="27" t="n">
        <v>0</v>
      </c>
      <c r="H42" s="27" t="n">
        <v>0</v>
      </c>
      <c r="I42" s="28" t="n">
        <v>7</v>
      </c>
      <c r="J42" s="28" t="n">
        <v>0</v>
      </c>
      <c r="K42" s="28" t="n">
        <v>0</v>
      </c>
      <c r="L42" s="28" t="n">
        <v>0</v>
      </c>
      <c r="M42" s="28" t="n">
        <v>7</v>
      </c>
      <c r="N42" s="29" t="n"/>
      <c r="O42" s="41" t="n">
        <v>46136</v>
      </c>
      <c r="P42" s="29" t="inlineStr">
        <is>
          <t>TASK_PHASE3_RAW_REBUILD_VERIFY_FIRST_20260422_STEP18_APPLY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5" t="inlineStr">
        <is>
          <t>56 Henry</t>
        </is>
      </c>
      <c r="B43" s="27" t="n">
        <v>27</v>
      </c>
      <c r="C43" s="27" t="n">
        <v>27</v>
      </c>
      <c r="D43" s="27" t="n">
        <v>100</v>
      </c>
      <c r="E43" s="27" t="n">
        <v>27</v>
      </c>
      <c r="F43" s="27" t="n">
        <v>109</v>
      </c>
      <c r="G43" s="27" t="n">
        <v>27</v>
      </c>
      <c r="H43" s="27" t="n">
        <v>27</v>
      </c>
      <c r="I43" s="28" t="n">
        <v>17</v>
      </c>
      <c r="J43" s="28" t="n">
        <v>8</v>
      </c>
      <c r="K43" s="28" t="n">
        <v>47.05882352941177</v>
      </c>
      <c r="L43" s="28" t="n">
        <v>8</v>
      </c>
      <c r="M43" s="28" t="n">
        <v>17</v>
      </c>
      <c r="N43" s="29" t="n"/>
      <c r="O43" s="41" t="n">
        <v>46137</v>
      </c>
      <c r="P43" s="29" t="inlineStr">
        <is>
          <t>p3n10r1</t>
        </is>
      </c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5" t="inlineStr">
        <is>
          <t>Sophie Tappeiner</t>
        </is>
      </c>
      <c r="B44" s="27" t="n">
        <v>10</v>
      </c>
      <c r="C44" s="27" t="n">
        <v>10</v>
      </c>
      <c r="D44" s="27" t="n">
        <v>100</v>
      </c>
      <c r="E44" s="27" t="n">
        <v>10</v>
      </c>
      <c r="F44" s="27" t="n">
        <v>50</v>
      </c>
      <c r="G44" s="27" t="n">
        <v>10</v>
      </c>
      <c r="H44" s="27" t="n">
        <v>10</v>
      </c>
      <c r="I44" s="28" t="n">
        <v>15</v>
      </c>
      <c r="J44" s="28" t="n">
        <v>0</v>
      </c>
      <c r="K44" s="28" t="n">
        <v>0</v>
      </c>
      <c r="L44" s="28" t="n">
        <v>0</v>
      </c>
      <c r="M44" s="28" t="n">
        <v>15</v>
      </c>
      <c r="N44" s="29" t="n"/>
      <c r="O44" s="41" t="n">
        <v>46137</v>
      </c>
      <c r="P44" s="29" t="inlineStr">
        <is>
          <t>p3n10r1</t>
        </is>
      </c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5" t="inlineStr">
        <is>
          <t>Suprainfinit</t>
        </is>
      </c>
      <c r="B45" s="27" t="n">
        <v>18</v>
      </c>
      <c r="C45" s="27" t="n">
        <v>18</v>
      </c>
      <c r="D45" s="27" t="n">
        <v>100</v>
      </c>
      <c r="E45" s="27" t="n">
        <v>18</v>
      </c>
      <c r="F45" s="27" t="n">
        <v>77</v>
      </c>
      <c r="G45" s="27" t="n">
        <v>18</v>
      </c>
      <c r="H45" s="27" t="n">
        <v>18</v>
      </c>
      <c r="I45" s="28" t="n">
        <v>7</v>
      </c>
      <c r="J45" s="28" t="n">
        <v>5</v>
      </c>
      <c r="K45" s="28" t="n">
        <v>71.42857142857143</v>
      </c>
      <c r="L45" s="28" t="n">
        <v>5</v>
      </c>
      <c r="M45" s="28" t="n">
        <v>7</v>
      </c>
      <c r="N45" s="29" t="n"/>
      <c r="O45" s="41" t="n">
        <v>46137</v>
      </c>
      <c r="P45" s="29" t="inlineStr">
        <is>
          <t>p3n10r1</t>
        </is>
      </c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5" t="inlineStr">
        <is>
          <t>Tabula Rasa Gallery</t>
        </is>
      </c>
      <c r="B46" s="27" t="n">
        <v>49</v>
      </c>
      <c r="C46" s="27" t="n">
        <v>49</v>
      </c>
      <c r="D46" s="27" t="n">
        <v>100</v>
      </c>
      <c r="E46" s="27" t="n">
        <v>49</v>
      </c>
      <c r="F46" s="27" t="n">
        <v>30</v>
      </c>
      <c r="G46" s="27" t="n">
        <v>49</v>
      </c>
      <c r="H46" s="27" t="n">
        <v>49</v>
      </c>
      <c r="I46" s="28" t="n">
        <v>9</v>
      </c>
      <c r="J46" s="28" t="n">
        <v>0</v>
      </c>
      <c r="K46" s="28" t="n">
        <v>0</v>
      </c>
      <c r="L46" s="28" t="n">
        <v>0</v>
      </c>
      <c r="M46" s="28" t="n">
        <v>9</v>
      </c>
      <c r="N46" s="29" t="n"/>
      <c r="O46" s="41" t="n">
        <v>46137</v>
      </c>
      <c r="P46" s="29" t="inlineStr">
        <is>
          <t>p3n10r1</t>
        </is>
      </c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5" t="inlineStr">
        <is>
          <t>Tiwani Contemporary</t>
        </is>
      </c>
      <c r="B47" s="27" t="n">
        <v>27</v>
      </c>
      <c r="C47" s="27" t="n">
        <v>27</v>
      </c>
      <c r="D47" s="27" t="n">
        <v>100</v>
      </c>
      <c r="E47" s="27" t="n">
        <v>27</v>
      </c>
      <c r="F47" s="27" t="n">
        <v>0</v>
      </c>
      <c r="G47" s="27" t="n">
        <v>27</v>
      </c>
      <c r="H47" s="27" t="n">
        <v>27</v>
      </c>
      <c r="I47" s="28" t="n">
        <v>11</v>
      </c>
      <c r="J47" s="28" t="n">
        <v>0</v>
      </c>
      <c r="K47" s="28" t="n">
        <v>0</v>
      </c>
      <c r="L47" s="28" t="n">
        <v>0</v>
      </c>
      <c r="M47" s="28" t="n">
        <v>11</v>
      </c>
      <c r="N47" s="29" t="n"/>
      <c r="O47" s="41" t="n">
        <v>46137</v>
      </c>
      <c r="P47" s="29" t="inlineStr">
        <is>
          <t>p3n10r1</t>
        </is>
      </c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5" t="inlineStr">
        <is>
          <t>Turnus</t>
        </is>
      </c>
      <c r="B48" s="27" t="n">
        <v>3</v>
      </c>
      <c r="C48" s="27" t="n">
        <v>3</v>
      </c>
      <c r="D48" s="27" t="n">
        <v>100</v>
      </c>
      <c r="E48" s="27" t="n">
        <v>3</v>
      </c>
      <c r="F48" s="27" t="n">
        <v>10</v>
      </c>
      <c r="G48" s="27" t="n">
        <v>3</v>
      </c>
      <c r="H48" s="27" t="n">
        <v>3</v>
      </c>
      <c r="I48" s="28" t="n">
        <v>12</v>
      </c>
      <c r="J48" s="28" t="n">
        <v>8</v>
      </c>
      <c r="K48" s="28" t="n">
        <v>66.66666666666667</v>
      </c>
      <c r="L48" s="28" t="n">
        <v>8</v>
      </c>
      <c r="M48" s="28" t="n">
        <v>12</v>
      </c>
      <c r="N48" s="29" t="n"/>
      <c r="O48" s="41" t="n">
        <v>46144</v>
      </c>
      <c r="P48" s="29" t="inlineStr">
        <is>
          <t>TASK_PHASE3_BLOCK6_XLSX_UPDATE_20260502T000000Z</t>
        </is>
      </c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5" t="inlineStr">
        <is>
          <t>Valerie's Factory</t>
        </is>
      </c>
      <c r="B49" s="27" t="n">
        <v>0</v>
      </c>
      <c r="C49" s="27" t="n">
        <v>0</v>
      </c>
      <c r="D49" s="27" t="n"/>
      <c r="E49" s="27" t="n">
        <v>0</v>
      </c>
      <c r="F49" s="27" t="n">
        <v>0</v>
      </c>
      <c r="G49" s="27" t="n">
        <v>0</v>
      </c>
      <c r="H49" s="27" t="n">
        <v>0</v>
      </c>
      <c r="I49" s="28" t="n">
        <v>2</v>
      </c>
      <c r="J49" s="28" t="n">
        <v>0</v>
      </c>
      <c r="K49" s="28" t="n">
        <v>0</v>
      </c>
      <c r="L49" s="28" t="n">
        <v>1</v>
      </c>
      <c r="M49" s="28" t="n">
        <v>1</v>
      </c>
      <c r="N49" s="29" t="n"/>
      <c r="O49" s="41" t="n">
        <v>46144</v>
      </c>
      <c r="P49" s="29" t="inlineStr">
        <is>
          <t>TASK_PHASE3_BLOCK6_XLSX_UPDATE_20260502T000000Z</t>
        </is>
      </c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5" t="inlineStr">
        <is>
          <t>Vanguard Gallery</t>
        </is>
      </c>
      <c r="B50" s="27" t="n">
        <v>33</v>
      </c>
      <c r="C50" s="27" t="n">
        <v>33</v>
      </c>
      <c r="D50" s="27" t="n">
        <v>100</v>
      </c>
      <c r="E50" s="27" t="n">
        <v>33</v>
      </c>
      <c r="F50" s="27" t="n">
        <v>156</v>
      </c>
      <c r="G50" s="27" t="n">
        <v>33</v>
      </c>
      <c r="H50" s="27" t="n">
        <v>33</v>
      </c>
      <c r="I50" s="28" t="n">
        <v>9</v>
      </c>
      <c r="J50" s="28" t="n">
        <v>8</v>
      </c>
      <c r="K50" s="28" t="n">
        <v>88.88888888888889</v>
      </c>
      <c r="L50" s="28" t="n">
        <v>8</v>
      </c>
      <c r="M50" s="28" t="n">
        <v>9</v>
      </c>
      <c r="N50" s="29" t="n"/>
      <c r="O50" s="41" t="n">
        <v>46144</v>
      </c>
      <c r="P50" s="29" t="inlineStr">
        <is>
          <t>TASK_PHASE3_BLOCK6_XLSX_UPDATE_20260502T000000Z</t>
        </is>
      </c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5" t="inlineStr">
        <is>
          <t>Voloshyn Gallery</t>
        </is>
      </c>
      <c r="B51" s="27" t="n">
        <v>52</v>
      </c>
      <c r="C51" s="27" t="n">
        <v>52</v>
      </c>
      <c r="D51" s="27" t="n">
        <v>100</v>
      </c>
      <c r="E51" s="27" t="n">
        <v>52</v>
      </c>
      <c r="F51" s="27" t="n">
        <v>75</v>
      </c>
      <c r="G51" s="27" t="n">
        <v>52</v>
      </c>
      <c r="H51" s="27" t="n">
        <v>52</v>
      </c>
      <c r="I51" s="28" t="n">
        <v>4</v>
      </c>
      <c r="J51" s="28" t="n">
        <v>3</v>
      </c>
      <c r="K51" s="28" t="n">
        <v>75</v>
      </c>
      <c r="L51" s="28" t="n">
        <v>3</v>
      </c>
      <c r="M51" s="28" t="n">
        <v>4</v>
      </c>
      <c r="N51" s="29" t="n"/>
      <c r="O51" s="41" t="n">
        <v>46144</v>
      </c>
      <c r="P51" s="29" t="inlineStr">
        <is>
          <t>TASK_PHASE3_BLOCK6_XLSX_UPDATE_20260502T000000Z</t>
        </is>
      </c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5" t="inlineStr">
        <is>
          <t>Whistle</t>
        </is>
      </c>
      <c r="B52" s="27" t="n">
        <v>70</v>
      </c>
      <c r="C52" s="27" t="n">
        <v>70</v>
      </c>
      <c r="D52" s="27" t="n">
        <v>100</v>
      </c>
      <c r="E52" s="27" t="n">
        <v>70</v>
      </c>
      <c r="F52" s="27" t="n">
        <v>0</v>
      </c>
      <c r="G52" s="27" t="n">
        <v>70</v>
      </c>
      <c r="H52" s="27" t="n">
        <v>70</v>
      </c>
      <c r="I52" s="28" t="n">
        <v>31</v>
      </c>
      <c r="J52" s="28" t="n">
        <v>0</v>
      </c>
      <c r="K52" s="28" t="n">
        <v>0</v>
      </c>
      <c r="L52" s="28" t="n">
        <v>0</v>
      </c>
      <c r="M52" s="28" t="n">
        <v>31</v>
      </c>
      <c r="N52" s="29" t="n"/>
      <c r="O52" s="41" t="n">
        <v>46144</v>
      </c>
      <c r="P52" s="29" t="inlineStr">
        <is>
          <t>TASK_PHASE3_BLOCK6_XLSX_UPDATE_20260502T000000Z</t>
        </is>
      </c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5" t="inlineStr">
        <is>
          <t>Yeo Workshop</t>
        </is>
      </c>
      <c r="B53" s="27" t="n">
        <v>21</v>
      </c>
      <c r="C53" s="27" t="n">
        <v>21</v>
      </c>
      <c r="D53" s="27" t="n">
        <v>100</v>
      </c>
      <c r="E53" s="27" t="n">
        <v>21</v>
      </c>
      <c r="F53" s="27" t="n">
        <v>96</v>
      </c>
      <c r="G53" s="27" t="n">
        <v>21</v>
      </c>
      <c r="H53" s="27" t="n">
        <v>21</v>
      </c>
      <c r="I53" s="28" t="n">
        <v>13</v>
      </c>
      <c r="J53" s="28" t="n">
        <v>10</v>
      </c>
      <c r="K53" s="28" t="n">
        <v>76.92307692307692</v>
      </c>
      <c r="L53" s="28" t="n">
        <v>11</v>
      </c>
      <c r="M53" s="28" t="n">
        <v>12</v>
      </c>
      <c r="N53" s="29" t="n"/>
      <c r="O53" s="41" t="n">
        <v>46151</v>
      </c>
      <c r="P53" s="29" t="inlineStr">
        <is>
          <t>TASK_PHASE3_BLOCK6_SKIP_REFLECT_20260509</t>
        </is>
      </c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5" t="inlineStr">
        <is>
          <t>YveYang Gallery</t>
        </is>
      </c>
      <c r="B54" s="27" t="n">
        <v>15</v>
      </c>
      <c r="C54" s="27" t="n">
        <v>15</v>
      </c>
      <c r="D54" s="27" t="n">
        <v>100</v>
      </c>
      <c r="E54" s="27" t="n">
        <v>15</v>
      </c>
      <c r="F54" s="27" t="n">
        <v>25</v>
      </c>
      <c r="G54" s="27" t="n">
        <v>15</v>
      </c>
      <c r="H54" s="27" t="n">
        <v>15</v>
      </c>
      <c r="I54" s="28" t="n">
        <v>4</v>
      </c>
      <c r="J54" s="28" t="n">
        <v>4</v>
      </c>
      <c r="K54" s="28" t="n">
        <v>100</v>
      </c>
      <c r="L54" s="28" t="n">
        <v>4</v>
      </c>
      <c r="M54" s="28" t="n">
        <v>4</v>
      </c>
      <c r="N54" s="29" t="n"/>
      <c r="O54" s="41" t="n">
        <v>46151</v>
      </c>
      <c r="P54" s="29" t="inlineStr">
        <is>
          <t>TASK_PHASE3_BLOCK6_SKIP_REFLECT_20260509</t>
        </is>
      </c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5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5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5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5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5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5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5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5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5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5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5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5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5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5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5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5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5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5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5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5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5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5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5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5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5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5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5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5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5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5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5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5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5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5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5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5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5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5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5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5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5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5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5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5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5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5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5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5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5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5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5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5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5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5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5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5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5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5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5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5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5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5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5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5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5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5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5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5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5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5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5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5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5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5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5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5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5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5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5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5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5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5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5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5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5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5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5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5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5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5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5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5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5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5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5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5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5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5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5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5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5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5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5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5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5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5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5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5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5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5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5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5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5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5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5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5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5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5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5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5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5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5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5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5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5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5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5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5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5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5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5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5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5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5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5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5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5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5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5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5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5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5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5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5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5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5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5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5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5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5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5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5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5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5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5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5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5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5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5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5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5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5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5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5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5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5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0" t="n"/>
      <c r="B221" s="7" t="n"/>
      <c r="C221" s="30" t="n"/>
      <c r="D221" s="30" t="n"/>
      <c r="E221" s="30" t="n"/>
      <c r="F221" s="7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0" t="n"/>
      <c r="B227" s="7" t="n"/>
      <c r="C227" s="30" t="n"/>
      <c r="D227" s="30" t="n"/>
      <c r="E227" s="30" t="n"/>
      <c r="F227" s="7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"/>
  <sheetViews>
    <sheetView workbookViewId="0">
      <selection activeCell="A1" sqref="A1"/>
    </sheetView>
  </sheetViews>
  <sheetFormatPr baseColWidth="8" defaultColWidth="14.43" defaultRowHeight="15" customHeight="1"/>
  <cols>
    <col width="13.43" customWidth="1" style="40" min="1" max="1"/>
    <col width="21.29" customWidth="1" style="40" min="2" max="11"/>
  </cols>
  <sheetData>
    <row r="1" ht="15.75" customHeight="1" s="40">
      <c r="A1" s="36" t="inlineStr">
        <is>
          <t>アートフェア</t>
        </is>
      </c>
      <c r="B1" s="9" t="inlineStr">
        <is>
          <t>総抽出Artist数</t>
        </is>
      </c>
      <c r="C1" s="9" t="inlineStr">
        <is>
          <t>画像テキストArtist一致数</t>
        </is>
      </c>
      <c r="D1" s="9" t="inlineStr">
        <is>
          <t>画像抽出Artist数</t>
        </is>
      </c>
      <c r="E1" s="10" t="inlineStr">
        <is>
          <t>Artist画像枚数</t>
        </is>
      </c>
      <c r="F1" s="9" t="inlineStr">
        <is>
          <t>テキスト抽出Artist数</t>
        </is>
      </c>
      <c r="G1" s="10" t="inlineStr">
        <is>
          <t>Artistテキスト数</t>
        </is>
      </c>
      <c r="H1" s="11" t="inlineStr">
        <is>
          <t>総抽出Exhibition数</t>
        </is>
      </c>
      <c r="I1" s="11" t="inlineStr">
        <is>
          <t>画像テキストExhibition一致数</t>
        </is>
      </c>
      <c r="J1" s="12" t="inlineStr">
        <is>
          <t>Exhibition画像枚数</t>
        </is>
      </c>
      <c r="K1" s="28" t="inlineStr">
        <is>
          <t>Exhibitionテキスト数</t>
        </is>
      </c>
      <c r="L1" s="5" t="n"/>
      <c r="M1" s="5" t="n"/>
      <c r="N1" s="6" t="n"/>
      <c r="O1" s="5" t="n"/>
      <c r="P1" s="5" t="n"/>
      <c r="Q1" s="5" t="n"/>
      <c r="R1" s="5" t="n"/>
      <c r="S1" s="5" t="n"/>
      <c r="T1" s="5" t="n"/>
      <c r="U1" s="7" t="n"/>
      <c r="V1" s="7" t="n"/>
      <c r="W1" s="7" t="n"/>
      <c r="X1" s="7" t="n"/>
    </row>
    <row r="2">
      <c r="A2" s="38" t="inlineStr">
        <is>
          <t>frieze-london</t>
        </is>
      </c>
      <c r="B2" s="38">
        <f>'frieze-london'!B1</f>
        <v/>
      </c>
      <c r="C2" s="38">
        <f>'frieze-london'!C1</f>
        <v/>
      </c>
      <c r="D2" s="38">
        <f>'frieze-london'!E1</f>
        <v/>
      </c>
      <c r="E2" s="38">
        <f>'frieze-london'!F1</f>
        <v/>
      </c>
      <c r="F2" s="38">
        <f>'frieze-london'!G1</f>
        <v/>
      </c>
      <c r="G2" s="38">
        <f>'frieze-london'!H1</f>
        <v/>
      </c>
      <c r="H2" s="38">
        <f>'frieze-london'!I1</f>
        <v/>
      </c>
      <c r="I2" s="38">
        <f>'frieze-london'!J1</f>
        <v/>
      </c>
      <c r="J2" s="38">
        <f>'frieze-london'!L1</f>
        <v/>
      </c>
      <c r="K2" s="38">
        <f>'frieze-london'!M1</f>
        <v/>
      </c>
    </row>
    <row r="3">
      <c r="A3" s="38" t="inlineStr">
        <is>
          <t>liste</t>
        </is>
      </c>
      <c r="B3" s="38">
        <f>liste!B1</f>
        <v/>
      </c>
      <c r="C3" s="38">
        <f>liste!C1</f>
        <v/>
      </c>
      <c r="D3" s="38">
        <f>liste!E1</f>
        <v/>
      </c>
      <c r="E3" s="38">
        <f>liste!F1</f>
        <v/>
      </c>
      <c r="F3" s="38">
        <f>liste!G1</f>
        <v/>
      </c>
      <c r="G3" s="38">
        <f>liste!H1</f>
        <v/>
      </c>
      <c r="H3" s="38">
        <f>liste!I1</f>
        <v/>
      </c>
      <c r="I3" s="38">
        <f>liste!J1</f>
        <v/>
      </c>
      <c r="J3" s="38">
        <f>liste!L1</f>
        <v/>
      </c>
      <c r="K3" s="38">
        <f>liste!M1</f>
        <v/>
      </c>
    </row>
    <row r="4">
      <c r="A4" s="38" t="inlineStr">
        <is>
          <t>合計</t>
        </is>
      </c>
      <c r="B4" s="38">
        <f>SUM(B2:B3)</f>
        <v/>
      </c>
      <c r="C4" s="38">
        <f>SUM(C2:C3)</f>
        <v/>
      </c>
      <c r="D4" s="38">
        <f>SUM(D2:D3)</f>
        <v/>
      </c>
      <c r="E4" s="39">
        <f>SUM(E2:E3)</f>
        <v/>
      </c>
      <c r="F4" s="38">
        <f>SUM(F2:F3)</f>
        <v/>
      </c>
      <c r="G4" s="39">
        <f>SUM(G2:G3)</f>
        <v/>
      </c>
      <c r="H4" s="38">
        <f>SUM(H2:H3)</f>
        <v/>
      </c>
      <c r="I4" s="38">
        <f>SUM(I2:I3)</f>
        <v/>
      </c>
      <c r="J4" s="39">
        <f>SUM(J2:J3)</f>
        <v/>
      </c>
      <c r="K4" s="39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2026-04-11T16:47:52Z</dcterms:created>
  <dcterms:modified xmlns:dcterms="http://purl.org/dc/terms/" xmlns:xsi="http://www.w3.org/2001/XMLSchema-instance" xsi:type="dcterms:W3CDTF">2026-05-09T14:14:03Z</dcterms:modified>
</cp:coreProperties>
</file>